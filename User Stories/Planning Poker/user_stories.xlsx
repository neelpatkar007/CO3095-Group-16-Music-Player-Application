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aygu\Downloads\CO3095-Group-16-Music-Player-Application\User Stories\Planning Poker\"/>
    </mc:Choice>
  </mc:AlternateContent>
  <xr:revisionPtr revIDLastSave="0" documentId="13_ncr:1_{40FEF03F-426D-46A0-B324-91FCE2E297B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User Stor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2" i="1"/>
  <c r="E43" i="1"/>
  <c r="E31" i="1"/>
  <c r="E19" i="1"/>
  <c r="E7" i="1"/>
  <c r="C51" i="1"/>
  <c r="B51" i="1"/>
  <c r="C50" i="1"/>
  <c r="B50" i="1"/>
</calcChain>
</file>

<file path=xl/sharedStrings.xml><?xml version="1.0" encoding="utf-8"?>
<sst xmlns="http://schemas.openxmlformats.org/spreadsheetml/2006/main" count="58" uniqueCount="58">
  <si>
    <t>User Story</t>
  </si>
  <si>
    <t>Story Point</t>
  </si>
  <si>
    <t>As a user, I want to play, pause and stop songs so that I can control my music easily.</t>
  </si>
  <si>
    <t>As a user, I want to skip to the next or previous song so that I can choose what I listen to.</t>
  </si>
  <si>
    <t>As a user, I want to see the current song title, artist name and duration so that I know what is playing.</t>
  </si>
  <si>
    <t>As a user, I want to change the volume between 0 and 100 so that I can set it to a comfortable level.</t>
  </si>
  <si>
    <t>As a user, I want to see the song progress and total time so that I can tell how long it has left.</t>
  </si>
  <si>
    <t>As a user, I want to see a progress bar and be able to type a time to jump to in the song so that I can move to a specific point.</t>
  </si>
  <si>
    <t>As a user, I want to use keyboard shortcuts for play, pause, stop and mute so that I can control playback quickly.</t>
  </si>
  <si>
    <t>As a user, I want to rewind or fast forward by five seconds so that I can skip small parts easily.</t>
  </si>
  <si>
    <t>As a user, I want to mute and unmute the sound instantly so that I can quickly silence the music.</t>
  </si>
  <si>
    <t>As a user, I want an indicator to show which song is playing so that it is easy to see in a list.</t>
  </si>
  <si>
    <t>As a user, I want the player to remember my last settings such as volume, shuffle and loop so that it starts how I left it.</t>
  </si>
  <si>
    <t>As a user, I want to create, rename and delete playlists so that I can organise my music library easily.</t>
  </si>
  <si>
    <t>As a user, I want to add, remove and change the order of songs in a playlist so that I can choose the order of tracks.</t>
  </si>
  <si>
    <t>As a user, I want to search for songs by title, artist or file name so that I can find specific tracks quickly.</t>
  </si>
  <si>
    <t>As a user, I want to view songs, albums and artists in a clear text table so that the information is easy to read.</t>
  </si>
  <si>
    <t>As a user, I want to see a list of all my playlists and pick one by typing its name or number so that I can switch between them quickly.</t>
  </si>
  <si>
    <t>As a user, I want to open a playlist and see all its songs with numbers and durations so that I can view its contents easily.</t>
  </si>
  <si>
    <t>As a user, I want to add a song from my main library to a playlist using a text command so that I can organise tracks faster.</t>
  </si>
  <si>
    <t>As a user, I want a confirmation message when I add or remove a song from a playlist so that I know the change worked.</t>
  </si>
  <si>
    <t>As a user, I want the player to scan my music folder for new files so that my library stays up to date automatically.</t>
  </si>
  <si>
    <t>As a user, I want to see the number of songs and total play time for each playlist so that I can see how long it is.</t>
  </si>
  <si>
    <t>As a user, I want to merge two playlists and choose whether to remove duplicate songs so that I can combine them easily.</t>
  </si>
  <si>
    <t>As a user, I want to make a copy of a playlist so that I can edit it without changing the original.</t>
  </si>
  <si>
    <t>As a user, I want to turn shuffle mode on or off so that songs play in a random order when I choose.</t>
  </si>
  <si>
    <t>As a user, I want to turn loop mode on for one song or all songs so that tracks can repeat automatically.</t>
  </si>
  <si>
    <t>As a user, I want to see the current queue and recently played songs as text so that I know what is coming next.</t>
  </si>
  <si>
    <t>As a user, I want to add or remove songs from the queue so that I can control what plays next.</t>
  </si>
  <si>
    <t>As a user, I want to queue a specific song to play next so that I can hear it straight after the current one.</t>
  </si>
  <si>
    <t>As a user, I want to clear the whole queue with one command so that I can start a new list easily.</t>
  </si>
  <si>
    <t>As a user, I want to change the playback speed between 0.5× and2× so that I can listen faster or slower.</t>
  </si>
  <si>
    <t>As a user, I want to like or unlike songs so that I can mark my favourites.</t>
  </si>
  <si>
    <t>As a user, I want to view my liked songs in a single list so that I can play them quickly.</t>
  </si>
  <si>
    <t>As a user, I want to sort playlists automatically by artist, title or duration so that they are organised better.</t>
  </si>
  <si>
    <t>As a user, I want to see a list of my most‑played songs so that I can find my favourites easily.</t>
  </si>
  <si>
    <t>As a user, I want to set a sleep timer so that the music stops after a chosen time.</t>
  </si>
  <si>
    <t>As a user, I want the player to keep running in the background so that music continues while I use other commands.</t>
  </si>
  <si>
    <t>As a user, I want to schedule playback at certain times so that music starts automatically during my routine.</t>
  </si>
  <si>
    <t>As a user, I want the player to remember the last song and position when I close it so that I can continue later.</t>
  </si>
  <si>
    <t>As a user, I want to import songs from local or external folders so that I can add new music easily.</t>
  </si>
  <si>
    <t>As a user, I want to create custom tags or labels for songs and filter by them so that I can group music by mood.</t>
  </si>
  <si>
    <t>As a user, I want to see a “Recently Added” list so that I can find new songs quickly.</t>
  </si>
  <si>
    <t>As a user, I want a list of help commands so that I know how to navigate the application.</t>
  </si>
  <si>
    <t>Average Point</t>
  </si>
  <si>
    <t>As a user, I want to create and switch between multiple user profiles so that each listener can maintain separate preferences and playlists.</t>
  </si>
  <si>
    <t>As a user, I want to view detailed playback statistics (total listening time, most-played artists) so that I can understand my listening habits.</t>
  </si>
  <si>
    <t>As a user, I want the player to watch my music folders for file changes so that my library stays accurate without manual scans.</t>
  </si>
  <si>
    <t>As a user, I want to export a playlist as a text/CSV file so that I can share it with others or open it somewhere else.</t>
  </si>
  <si>
    <t>As a user, I want to update metadata (title, artist, etc.) so that I can fix potentially missing information.</t>
  </si>
  <si>
    <t>As a user, I want to rate songs and view the rated songs in a playlist (playlist of tracks rated 10, 9, 8, etc.) so that I have a compilation of songs that I feel similarly about.</t>
  </si>
  <si>
    <t xml:space="preserve">Sprint </t>
  </si>
  <si>
    <t>Sprint Story Point Total</t>
  </si>
  <si>
    <t>Total Story Points:</t>
  </si>
  <si>
    <t>Average Story Points:</t>
  </si>
  <si>
    <t>Optimistic (Hours)</t>
  </si>
  <si>
    <t>Most Likely (Hours)</t>
  </si>
  <si>
    <t>Pessimistic (Hours)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</si>
</sst>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tabSelected="1" workbookViewId="0">
      <selection activeCell="I1" sqref="I1"/>
    </sheetView>
  </sheetViews>
  <sheetFormatPr defaultRowHeight="15" x14ac:dyDescent="0.25"/>
  <cols>
    <col min="1" max="1" width="135.7109375" customWidth="1"/>
    <col min="2" max="2" width="14.5703125" customWidth="1"/>
    <col min="3" max="3" width="15.42578125" customWidth="1"/>
    <col min="5" max="5" width="21.7109375" customWidth="1"/>
    <col min="6" max="6" width="17.42578125" customWidth="1"/>
    <col min="7" max="7" width="18.7109375" customWidth="1"/>
    <col min="8" max="8" width="17.85546875" customWidth="1"/>
  </cols>
  <sheetData>
    <row r="1" spans="1:8" x14ac:dyDescent="0.25">
      <c r="A1" s="9" t="s">
        <v>0</v>
      </c>
      <c r="B1" s="9" t="s">
        <v>1</v>
      </c>
      <c r="C1" s="9" t="s">
        <v>44</v>
      </c>
      <c r="D1" s="9" t="s">
        <v>51</v>
      </c>
      <c r="E1" s="9" t="s">
        <v>52</v>
      </c>
      <c r="F1" s="9" t="s">
        <v>55</v>
      </c>
      <c r="G1" s="9" t="s">
        <v>56</v>
      </c>
      <c r="H1" s="9" t="s">
        <v>57</v>
      </c>
    </row>
    <row r="2" spans="1:8" x14ac:dyDescent="0.25">
      <c r="A2" s="1" t="s">
        <v>2</v>
      </c>
      <c r="B2">
        <v>5</v>
      </c>
      <c r="C2">
        <v>4.5</v>
      </c>
      <c r="D2" s="1">
        <v>1</v>
      </c>
      <c r="F2">
        <f>(B2*0.5)</f>
        <v>2.5</v>
      </c>
      <c r="G2">
        <v>5</v>
      </c>
      <c r="H2">
        <f>(B2*1.5)</f>
        <v>7.5</v>
      </c>
    </row>
    <row r="3" spans="1:8" x14ac:dyDescent="0.25">
      <c r="A3" s="1" t="s">
        <v>3</v>
      </c>
      <c r="B3">
        <v>5</v>
      </c>
      <c r="C3">
        <v>4</v>
      </c>
      <c r="D3" s="1">
        <v>1</v>
      </c>
      <c r="F3">
        <f t="shared" ref="F3:F49" si="0">(B3*0.5)</f>
        <v>2.5</v>
      </c>
      <c r="G3">
        <v>5</v>
      </c>
      <c r="H3">
        <f t="shared" ref="H3:H49" si="1">(B3*1.5)</f>
        <v>7.5</v>
      </c>
    </row>
    <row r="4" spans="1:8" x14ac:dyDescent="0.25">
      <c r="A4" s="1" t="s">
        <v>4</v>
      </c>
      <c r="B4">
        <v>2</v>
      </c>
      <c r="C4">
        <v>2.25</v>
      </c>
      <c r="D4" s="1">
        <v>1</v>
      </c>
      <c r="F4">
        <f t="shared" si="0"/>
        <v>1</v>
      </c>
      <c r="G4">
        <v>2</v>
      </c>
      <c r="H4">
        <f t="shared" si="1"/>
        <v>3</v>
      </c>
    </row>
    <row r="5" spans="1:8" x14ac:dyDescent="0.25">
      <c r="A5" s="1" t="s">
        <v>5</v>
      </c>
      <c r="B5">
        <v>2</v>
      </c>
      <c r="C5">
        <v>2.25</v>
      </c>
      <c r="D5" s="1">
        <v>1</v>
      </c>
      <c r="F5">
        <f t="shared" si="0"/>
        <v>1</v>
      </c>
      <c r="G5">
        <v>2</v>
      </c>
      <c r="H5">
        <f t="shared" si="1"/>
        <v>3</v>
      </c>
    </row>
    <row r="6" spans="1:8" x14ac:dyDescent="0.25">
      <c r="A6" s="1" t="s">
        <v>6</v>
      </c>
      <c r="B6">
        <v>3</v>
      </c>
      <c r="C6">
        <v>2.5</v>
      </c>
      <c r="D6" s="1">
        <v>1</v>
      </c>
      <c r="F6">
        <f t="shared" si="0"/>
        <v>1.5</v>
      </c>
      <c r="G6">
        <v>3</v>
      </c>
      <c r="H6">
        <f t="shared" si="1"/>
        <v>4.5</v>
      </c>
    </row>
    <row r="7" spans="1:8" x14ac:dyDescent="0.25">
      <c r="A7" s="1" t="s">
        <v>7</v>
      </c>
      <c r="B7">
        <v>3</v>
      </c>
      <c r="C7">
        <v>2.5</v>
      </c>
      <c r="D7" s="1">
        <v>1</v>
      </c>
      <c r="E7" s="5">
        <f>SUM(B2:B13)</f>
        <v>35</v>
      </c>
      <c r="F7">
        <f t="shared" si="0"/>
        <v>1.5</v>
      </c>
      <c r="G7">
        <v>3</v>
      </c>
      <c r="H7">
        <f t="shared" si="1"/>
        <v>4.5</v>
      </c>
    </row>
    <row r="8" spans="1:8" x14ac:dyDescent="0.25">
      <c r="A8" s="1" t="s">
        <v>8</v>
      </c>
      <c r="B8">
        <v>3</v>
      </c>
      <c r="C8">
        <v>2</v>
      </c>
      <c r="D8" s="1">
        <v>1</v>
      </c>
      <c r="F8">
        <f t="shared" si="0"/>
        <v>1.5</v>
      </c>
      <c r="G8">
        <v>3</v>
      </c>
      <c r="H8">
        <f t="shared" si="1"/>
        <v>4.5</v>
      </c>
    </row>
    <row r="9" spans="1:8" x14ac:dyDescent="0.25">
      <c r="A9" s="1" t="s">
        <v>9</v>
      </c>
      <c r="B9">
        <v>2</v>
      </c>
      <c r="C9">
        <v>2.25</v>
      </c>
      <c r="D9" s="1">
        <v>1</v>
      </c>
      <c r="F9">
        <f t="shared" si="0"/>
        <v>1</v>
      </c>
      <c r="G9">
        <v>2</v>
      </c>
      <c r="H9">
        <f t="shared" si="1"/>
        <v>3</v>
      </c>
    </row>
    <row r="10" spans="1:8" x14ac:dyDescent="0.25">
      <c r="A10" s="1" t="s">
        <v>10</v>
      </c>
      <c r="B10">
        <v>1</v>
      </c>
      <c r="C10">
        <v>0.88</v>
      </c>
      <c r="D10" s="1">
        <v>1</v>
      </c>
      <c r="F10">
        <f t="shared" si="0"/>
        <v>0.5</v>
      </c>
      <c r="G10">
        <v>1</v>
      </c>
      <c r="H10">
        <f t="shared" si="1"/>
        <v>1.5</v>
      </c>
    </row>
    <row r="11" spans="1:8" x14ac:dyDescent="0.25">
      <c r="A11" s="1" t="s">
        <v>11</v>
      </c>
      <c r="B11">
        <v>1</v>
      </c>
      <c r="C11">
        <v>1.1299999999999999</v>
      </c>
      <c r="D11" s="1">
        <v>1</v>
      </c>
      <c r="F11">
        <f t="shared" si="0"/>
        <v>0.5</v>
      </c>
      <c r="G11">
        <v>1</v>
      </c>
      <c r="H11">
        <f t="shared" si="1"/>
        <v>1.5</v>
      </c>
    </row>
    <row r="12" spans="1:8" x14ac:dyDescent="0.25">
      <c r="A12" s="1" t="s">
        <v>43</v>
      </c>
      <c r="B12">
        <v>3</v>
      </c>
      <c r="C12">
        <v>3.5</v>
      </c>
      <c r="D12" s="1">
        <v>1</v>
      </c>
      <c r="F12">
        <f t="shared" si="0"/>
        <v>1.5</v>
      </c>
      <c r="G12">
        <v>3</v>
      </c>
      <c r="H12">
        <f t="shared" si="1"/>
        <v>4.5</v>
      </c>
    </row>
    <row r="13" spans="1:8" x14ac:dyDescent="0.25">
      <c r="A13" s="1" t="s">
        <v>37</v>
      </c>
      <c r="B13">
        <v>5</v>
      </c>
      <c r="C13">
        <v>5</v>
      </c>
      <c r="D13" s="1">
        <v>1</v>
      </c>
      <c r="F13">
        <f t="shared" si="0"/>
        <v>2.5</v>
      </c>
      <c r="G13">
        <v>5</v>
      </c>
      <c r="H13">
        <f t="shared" si="1"/>
        <v>7.5</v>
      </c>
    </row>
    <row r="14" spans="1:8" x14ac:dyDescent="0.25">
      <c r="A14" s="2" t="s">
        <v>13</v>
      </c>
      <c r="B14">
        <v>3</v>
      </c>
      <c r="C14">
        <v>2.75</v>
      </c>
      <c r="D14" s="2">
        <v>2</v>
      </c>
      <c r="F14">
        <f t="shared" si="0"/>
        <v>1.5</v>
      </c>
      <c r="G14">
        <v>3</v>
      </c>
      <c r="H14">
        <f t="shared" si="1"/>
        <v>4.5</v>
      </c>
    </row>
    <row r="15" spans="1:8" x14ac:dyDescent="0.25">
      <c r="A15" s="2" t="s">
        <v>14</v>
      </c>
      <c r="B15">
        <v>5</v>
      </c>
      <c r="C15">
        <v>3.5</v>
      </c>
      <c r="D15" s="2">
        <v>2</v>
      </c>
      <c r="F15">
        <f t="shared" si="0"/>
        <v>2.5</v>
      </c>
      <c r="G15">
        <v>5</v>
      </c>
      <c r="H15">
        <f t="shared" si="1"/>
        <v>7.5</v>
      </c>
    </row>
    <row r="16" spans="1:8" x14ac:dyDescent="0.25">
      <c r="A16" s="2" t="s">
        <v>15</v>
      </c>
      <c r="B16">
        <v>5</v>
      </c>
      <c r="C16">
        <v>3.5</v>
      </c>
      <c r="D16" s="2">
        <v>2</v>
      </c>
      <c r="F16">
        <f t="shared" si="0"/>
        <v>2.5</v>
      </c>
      <c r="G16">
        <v>5</v>
      </c>
      <c r="H16">
        <f t="shared" si="1"/>
        <v>7.5</v>
      </c>
    </row>
    <row r="17" spans="1:8" x14ac:dyDescent="0.25">
      <c r="A17" s="2" t="s">
        <v>16</v>
      </c>
      <c r="B17">
        <v>2</v>
      </c>
      <c r="C17">
        <v>1.5</v>
      </c>
      <c r="D17" s="2">
        <v>2</v>
      </c>
      <c r="F17">
        <f t="shared" si="0"/>
        <v>1</v>
      </c>
      <c r="G17">
        <v>2</v>
      </c>
      <c r="H17">
        <f t="shared" si="1"/>
        <v>3</v>
      </c>
    </row>
    <row r="18" spans="1:8" x14ac:dyDescent="0.25">
      <c r="A18" s="2" t="s">
        <v>17</v>
      </c>
      <c r="B18">
        <v>3</v>
      </c>
      <c r="C18">
        <v>2.75</v>
      </c>
      <c r="D18" s="2">
        <v>2</v>
      </c>
      <c r="F18">
        <f t="shared" si="0"/>
        <v>1.5</v>
      </c>
      <c r="G18">
        <v>3</v>
      </c>
      <c r="H18">
        <f t="shared" si="1"/>
        <v>4.5</v>
      </c>
    </row>
    <row r="19" spans="1:8" x14ac:dyDescent="0.25">
      <c r="A19" s="2" t="s">
        <v>18</v>
      </c>
      <c r="B19">
        <v>3</v>
      </c>
      <c r="C19">
        <v>2.5</v>
      </c>
      <c r="D19" s="2">
        <v>2</v>
      </c>
      <c r="E19" s="6">
        <f>SUM(B14:B25)</f>
        <v>40</v>
      </c>
      <c r="F19">
        <f t="shared" si="0"/>
        <v>1.5</v>
      </c>
      <c r="G19">
        <v>3</v>
      </c>
      <c r="H19">
        <f t="shared" si="1"/>
        <v>4.5</v>
      </c>
    </row>
    <row r="20" spans="1:8" x14ac:dyDescent="0.25">
      <c r="A20" s="2" t="s">
        <v>19</v>
      </c>
      <c r="B20">
        <v>3</v>
      </c>
      <c r="C20">
        <v>2.75</v>
      </c>
      <c r="D20" s="2">
        <v>2</v>
      </c>
      <c r="F20">
        <f t="shared" si="0"/>
        <v>1.5</v>
      </c>
      <c r="G20">
        <v>3</v>
      </c>
      <c r="H20">
        <f t="shared" si="1"/>
        <v>4.5</v>
      </c>
    </row>
    <row r="21" spans="1:8" x14ac:dyDescent="0.25">
      <c r="A21" s="2" t="s">
        <v>20</v>
      </c>
      <c r="B21">
        <v>1</v>
      </c>
      <c r="C21">
        <v>0.88</v>
      </c>
      <c r="D21" s="2">
        <v>2</v>
      </c>
      <c r="F21">
        <f t="shared" si="0"/>
        <v>0.5</v>
      </c>
      <c r="G21">
        <v>1</v>
      </c>
      <c r="H21">
        <f t="shared" si="1"/>
        <v>1.5</v>
      </c>
    </row>
    <row r="22" spans="1:8" x14ac:dyDescent="0.25">
      <c r="A22" s="2" t="s">
        <v>21</v>
      </c>
      <c r="B22">
        <v>5</v>
      </c>
      <c r="C22">
        <v>5.75</v>
      </c>
      <c r="D22" s="2">
        <v>2</v>
      </c>
      <c r="F22">
        <f t="shared" si="0"/>
        <v>2.5</v>
      </c>
      <c r="G22">
        <v>5</v>
      </c>
      <c r="H22">
        <f t="shared" si="1"/>
        <v>7.5</v>
      </c>
    </row>
    <row r="23" spans="1:8" x14ac:dyDescent="0.25">
      <c r="A23" s="2" t="s">
        <v>22</v>
      </c>
      <c r="B23">
        <v>2</v>
      </c>
      <c r="C23">
        <v>1.75</v>
      </c>
      <c r="D23" s="2">
        <v>2</v>
      </c>
      <c r="F23">
        <f t="shared" si="0"/>
        <v>1</v>
      </c>
      <c r="G23">
        <v>2</v>
      </c>
      <c r="H23">
        <f t="shared" si="1"/>
        <v>3</v>
      </c>
    </row>
    <row r="24" spans="1:8" x14ac:dyDescent="0.25">
      <c r="A24" s="2" t="s">
        <v>23</v>
      </c>
      <c r="B24">
        <v>5</v>
      </c>
      <c r="C24">
        <v>5.75</v>
      </c>
      <c r="D24" s="2">
        <v>2</v>
      </c>
      <c r="F24">
        <f t="shared" si="0"/>
        <v>2.5</v>
      </c>
      <c r="G24">
        <v>5</v>
      </c>
      <c r="H24">
        <f t="shared" si="1"/>
        <v>7.5</v>
      </c>
    </row>
    <row r="25" spans="1:8" x14ac:dyDescent="0.25">
      <c r="A25" s="2" t="s">
        <v>24</v>
      </c>
      <c r="B25">
        <v>3</v>
      </c>
      <c r="C25">
        <v>2.5</v>
      </c>
      <c r="D25" s="2">
        <v>2</v>
      </c>
      <c r="F25">
        <f t="shared" si="0"/>
        <v>1.5</v>
      </c>
      <c r="G25">
        <v>3</v>
      </c>
      <c r="H25">
        <f t="shared" si="1"/>
        <v>4.5</v>
      </c>
    </row>
    <row r="26" spans="1:8" x14ac:dyDescent="0.25">
      <c r="A26" s="3" t="s">
        <v>25</v>
      </c>
      <c r="B26">
        <v>8</v>
      </c>
      <c r="C26">
        <v>6.5</v>
      </c>
      <c r="D26" s="3">
        <v>3</v>
      </c>
      <c r="F26">
        <f t="shared" si="0"/>
        <v>4</v>
      </c>
      <c r="G26">
        <v>8</v>
      </c>
      <c r="H26">
        <f t="shared" si="1"/>
        <v>12</v>
      </c>
    </row>
    <row r="27" spans="1:8" x14ac:dyDescent="0.25">
      <c r="A27" s="3" t="s">
        <v>26</v>
      </c>
      <c r="B27">
        <v>5</v>
      </c>
      <c r="C27">
        <v>4</v>
      </c>
      <c r="D27" s="3">
        <v>3</v>
      </c>
      <c r="F27">
        <f t="shared" si="0"/>
        <v>2.5</v>
      </c>
      <c r="G27">
        <v>5</v>
      </c>
      <c r="H27">
        <f t="shared" si="1"/>
        <v>7.5</v>
      </c>
    </row>
    <row r="28" spans="1:8" x14ac:dyDescent="0.25">
      <c r="A28" s="3" t="s">
        <v>27</v>
      </c>
      <c r="B28">
        <v>5</v>
      </c>
      <c r="C28">
        <v>4.5</v>
      </c>
      <c r="D28" s="3">
        <v>3</v>
      </c>
      <c r="F28">
        <f t="shared" si="0"/>
        <v>2.5</v>
      </c>
      <c r="G28">
        <v>5</v>
      </c>
      <c r="H28">
        <f t="shared" si="1"/>
        <v>7.5</v>
      </c>
    </row>
    <row r="29" spans="1:8" x14ac:dyDescent="0.25">
      <c r="A29" s="3" t="s">
        <v>28</v>
      </c>
      <c r="B29">
        <v>8</v>
      </c>
      <c r="C29">
        <v>5.75</v>
      </c>
      <c r="D29" s="3">
        <v>3</v>
      </c>
      <c r="F29">
        <f t="shared" si="0"/>
        <v>4</v>
      </c>
      <c r="G29">
        <v>8</v>
      </c>
      <c r="H29">
        <f t="shared" si="1"/>
        <v>12</v>
      </c>
    </row>
    <row r="30" spans="1:8" x14ac:dyDescent="0.25">
      <c r="A30" s="3" t="s">
        <v>29</v>
      </c>
      <c r="B30">
        <v>5</v>
      </c>
      <c r="C30">
        <v>4</v>
      </c>
      <c r="D30" s="3">
        <v>3</v>
      </c>
      <c r="F30">
        <f t="shared" si="0"/>
        <v>2.5</v>
      </c>
      <c r="G30">
        <v>5</v>
      </c>
      <c r="H30">
        <f t="shared" si="1"/>
        <v>7.5</v>
      </c>
    </row>
    <row r="31" spans="1:8" x14ac:dyDescent="0.25">
      <c r="A31" s="3" t="s">
        <v>30</v>
      </c>
      <c r="B31">
        <v>2</v>
      </c>
      <c r="C31">
        <v>1.75</v>
      </c>
      <c r="D31" s="3">
        <v>3</v>
      </c>
      <c r="E31" s="4">
        <f>SUM(B26:B37)</f>
        <v>58</v>
      </c>
      <c r="F31">
        <f t="shared" si="0"/>
        <v>1</v>
      </c>
      <c r="G31">
        <v>2</v>
      </c>
      <c r="H31">
        <f t="shared" si="1"/>
        <v>3</v>
      </c>
    </row>
    <row r="32" spans="1:8" x14ac:dyDescent="0.25">
      <c r="A32" s="3" t="s">
        <v>31</v>
      </c>
      <c r="B32">
        <v>8</v>
      </c>
      <c r="C32">
        <v>6.5</v>
      </c>
      <c r="D32" s="3">
        <v>3</v>
      </c>
      <c r="F32">
        <f t="shared" si="0"/>
        <v>4</v>
      </c>
      <c r="G32">
        <v>8</v>
      </c>
      <c r="H32">
        <f t="shared" si="1"/>
        <v>12</v>
      </c>
    </row>
    <row r="33" spans="1:8" x14ac:dyDescent="0.25">
      <c r="A33" s="3" t="s">
        <v>32</v>
      </c>
      <c r="B33">
        <v>3</v>
      </c>
      <c r="C33">
        <v>2.5</v>
      </c>
      <c r="D33" s="3">
        <v>3</v>
      </c>
      <c r="F33">
        <f t="shared" si="0"/>
        <v>1.5</v>
      </c>
      <c r="G33">
        <v>3</v>
      </c>
      <c r="H33">
        <f t="shared" si="1"/>
        <v>4.5</v>
      </c>
    </row>
    <row r="34" spans="1:8" x14ac:dyDescent="0.25">
      <c r="A34" s="3" t="s">
        <v>33</v>
      </c>
      <c r="B34">
        <v>3</v>
      </c>
      <c r="C34">
        <v>2.5</v>
      </c>
      <c r="D34" s="3">
        <v>3</v>
      </c>
      <c r="F34">
        <f t="shared" si="0"/>
        <v>1.5</v>
      </c>
      <c r="G34">
        <v>3</v>
      </c>
      <c r="H34">
        <f t="shared" si="1"/>
        <v>4.5</v>
      </c>
    </row>
    <row r="35" spans="1:8" x14ac:dyDescent="0.25">
      <c r="A35" s="3" t="s">
        <v>34</v>
      </c>
      <c r="B35">
        <v>5</v>
      </c>
      <c r="C35">
        <v>4.5</v>
      </c>
      <c r="D35" s="3">
        <v>3</v>
      </c>
      <c r="F35">
        <f t="shared" si="0"/>
        <v>2.5</v>
      </c>
      <c r="G35">
        <v>5</v>
      </c>
      <c r="H35">
        <f t="shared" si="1"/>
        <v>7.5</v>
      </c>
    </row>
    <row r="36" spans="1:8" x14ac:dyDescent="0.25">
      <c r="A36" s="3" t="s">
        <v>35</v>
      </c>
      <c r="B36">
        <v>3</v>
      </c>
      <c r="C36">
        <v>2.75</v>
      </c>
      <c r="D36" s="3">
        <v>3</v>
      </c>
      <c r="F36">
        <f t="shared" si="0"/>
        <v>1.5</v>
      </c>
      <c r="G36">
        <v>3</v>
      </c>
      <c r="H36">
        <f t="shared" si="1"/>
        <v>4.5</v>
      </c>
    </row>
    <row r="37" spans="1:8" x14ac:dyDescent="0.25">
      <c r="A37" s="3" t="s">
        <v>36</v>
      </c>
      <c r="B37">
        <v>3</v>
      </c>
      <c r="C37">
        <v>2.75</v>
      </c>
      <c r="D37" s="3">
        <v>3</v>
      </c>
      <c r="F37">
        <f t="shared" si="0"/>
        <v>1.5</v>
      </c>
      <c r="G37">
        <v>3</v>
      </c>
      <c r="H37">
        <f t="shared" si="1"/>
        <v>4.5</v>
      </c>
    </row>
    <row r="38" spans="1:8" x14ac:dyDescent="0.25">
      <c r="A38" s="7" t="s">
        <v>12</v>
      </c>
      <c r="B38">
        <v>8</v>
      </c>
      <c r="C38">
        <v>6.5</v>
      </c>
      <c r="D38" s="7">
        <v>4</v>
      </c>
      <c r="F38">
        <f t="shared" si="0"/>
        <v>4</v>
      </c>
      <c r="G38">
        <v>8</v>
      </c>
      <c r="H38">
        <f t="shared" si="1"/>
        <v>12</v>
      </c>
    </row>
    <row r="39" spans="1:8" x14ac:dyDescent="0.25">
      <c r="A39" s="7" t="s">
        <v>38</v>
      </c>
      <c r="B39">
        <v>5</v>
      </c>
      <c r="C39">
        <v>5</v>
      </c>
      <c r="D39" s="7">
        <v>4</v>
      </c>
      <c r="F39">
        <f t="shared" si="0"/>
        <v>2.5</v>
      </c>
      <c r="G39">
        <v>5</v>
      </c>
      <c r="H39">
        <f t="shared" si="1"/>
        <v>7.5</v>
      </c>
    </row>
    <row r="40" spans="1:8" x14ac:dyDescent="0.25">
      <c r="A40" s="7" t="s">
        <v>39</v>
      </c>
      <c r="B40">
        <v>8</v>
      </c>
      <c r="C40">
        <v>6.5</v>
      </c>
      <c r="D40" s="7">
        <v>4</v>
      </c>
      <c r="F40">
        <f t="shared" si="0"/>
        <v>4</v>
      </c>
      <c r="G40">
        <v>8</v>
      </c>
      <c r="H40">
        <f t="shared" si="1"/>
        <v>12</v>
      </c>
    </row>
    <row r="41" spans="1:8" x14ac:dyDescent="0.25">
      <c r="A41" s="7" t="s">
        <v>40</v>
      </c>
      <c r="B41">
        <v>5</v>
      </c>
      <c r="C41">
        <v>4</v>
      </c>
      <c r="D41" s="7">
        <v>4</v>
      </c>
      <c r="F41">
        <f t="shared" si="0"/>
        <v>2.5</v>
      </c>
      <c r="G41">
        <v>5</v>
      </c>
      <c r="H41">
        <f t="shared" si="1"/>
        <v>7.5</v>
      </c>
    </row>
    <row r="42" spans="1:8" x14ac:dyDescent="0.25">
      <c r="A42" s="7" t="s">
        <v>41</v>
      </c>
      <c r="B42">
        <v>5</v>
      </c>
      <c r="C42">
        <v>4.5</v>
      </c>
      <c r="D42" s="7">
        <v>4</v>
      </c>
      <c r="F42">
        <f t="shared" si="0"/>
        <v>2.5</v>
      </c>
      <c r="G42">
        <v>5</v>
      </c>
      <c r="H42">
        <f t="shared" si="1"/>
        <v>7.5</v>
      </c>
    </row>
    <row r="43" spans="1:8" x14ac:dyDescent="0.25">
      <c r="A43" s="7" t="s">
        <v>42</v>
      </c>
      <c r="B43">
        <v>3</v>
      </c>
      <c r="C43">
        <v>3</v>
      </c>
      <c r="D43" s="7">
        <v>4</v>
      </c>
      <c r="E43" s="8">
        <f>SUM(B38:B49)</f>
        <v>70</v>
      </c>
      <c r="F43">
        <f t="shared" si="0"/>
        <v>1.5</v>
      </c>
      <c r="G43">
        <v>3</v>
      </c>
      <c r="H43">
        <f t="shared" si="1"/>
        <v>4.5</v>
      </c>
    </row>
    <row r="44" spans="1:8" x14ac:dyDescent="0.25">
      <c r="A44" s="7" t="s">
        <v>45</v>
      </c>
      <c r="B44">
        <v>8</v>
      </c>
      <c r="C44">
        <v>5.75</v>
      </c>
      <c r="D44" s="7">
        <v>4</v>
      </c>
      <c r="F44">
        <f t="shared" si="0"/>
        <v>4</v>
      </c>
      <c r="G44">
        <v>8</v>
      </c>
      <c r="H44">
        <f t="shared" si="1"/>
        <v>12</v>
      </c>
    </row>
    <row r="45" spans="1:8" x14ac:dyDescent="0.25">
      <c r="A45" s="7" t="s">
        <v>46</v>
      </c>
      <c r="B45">
        <v>5</v>
      </c>
      <c r="C45">
        <v>5</v>
      </c>
      <c r="D45" s="7">
        <v>4</v>
      </c>
      <c r="F45">
        <f t="shared" si="0"/>
        <v>2.5</v>
      </c>
      <c r="G45">
        <v>5</v>
      </c>
      <c r="H45">
        <f t="shared" si="1"/>
        <v>7.5</v>
      </c>
    </row>
    <row r="46" spans="1:8" x14ac:dyDescent="0.25">
      <c r="A46" s="7" t="s">
        <v>47</v>
      </c>
      <c r="B46">
        <v>8</v>
      </c>
      <c r="C46">
        <v>6.5</v>
      </c>
      <c r="D46" s="7">
        <v>4</v>
      </c>
      <c r="F46">
        <f t="shared" si="0"/>
        <v>4</v>
      </c>
      <c r="G46">
        <v>8</v>
      </c>
      <c r="H46">
        <f t="shared" si="1"/>
        <v>12</v>
      </c>
    </row>
    <row r="47" spans="1:8" x14ac:dyDescent="0.25">
      <c r="A47" s="7" t="s">
        <v>48</v>
      </c>
      <c r="B47">
        <v>5</v>
      </c>
      <c r="C47">
        <v>3.5</v>
      </c>
      <c r="D47" s="7">
        <v>4</v>
      </c>
      <c r="F47">
        <f t="shared" si="0"/>
        <v>2.5</v>
      </c>
      <c r="G47">
        <v>5</v>
      </c>
      <c r="H47">
        <f t="shared" si="1"/>
        <v>7.5</v>
      </c>
    </row>
    <row r="48" spans="1:8" x14ac:dyDescent="0.25">
      <c r="A48" s="7" t="s">
        <v>49</v>
      </c>
      <c r="B48">
        <v>5</v>
      </c>
      <c r="C48">
        <v>4.5</v>
      </c>
      <c r="D48" s="7">
        <v>4</v>
      </c>
      <c r="F48">
        <f t="shared" si="0"/>
        <v>2.5</v>
      </c>
      <c r="G48">
        <v>5</v>
      </c>
      <c r="H48">
        <f t="shared" si="1"/>
        <v>7.5</v>
      </c>
    </row>
    <row r="49" spans="1:8" x14ac:dyDescent="0.25">
      <c r="A49" s="7" t="s">
        <v>50</v>
      </c>
      <c r="B49">
        <v>5</v>
      </c>
      <c r="C49">
        <v>4</v>
      </c>
      <c r="D49" s="7">
        <v>4</v>
      </c>
      <c r="F49">
        <f t="shared" si="0"/>
        <v>2.5</v>
      </c>
      <c r="G49">
        <v>5</v>
      </c>
      <c r="H49">
        <f t="shared" si="1"/>
        <v>7.5</v>
      </c>
    </row>
    <row r="50" spans="1:8" x14ac:dyDescent="0.25">
      <c r="A50" s="9" t="s">
        <v>53</v>
      </c>
      <c r="B50">
        <f>SUM(B2:B49)</f>
        <v>203</v>
      </c>
      <c r="C50">
        <f>SUM(C2:C49)</f>
        <v>175.39</v>
      </c>
    </row>
    <row r="51" spans="1:8" x14ac:dyDescent="0.25">
      <c r="A51" s="9" t="s">
        <v>54</v>
      </c>
      <c r="B51">
        <f>AVERAGE(B2:B49)</f>
        <v>4.229166666666667</v>
      </c>
      <c r="C51">
        <f>AVERAGE(C2:C49)</f>
        <v>3.6539583333333332</v>
      </c>
    </row>
    <row r="53" spans="1:8" x14ac:dyDescent="0.25">
      <c r="A53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 Stories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Alam, Raiyan</cp:lastModifiedBy>
  <dcterms:created xsi:type="dcterms:W3CDTF">2025-11-09T21:04:16Z</dcterms:created>
  <dcterms:modified xsi:type="dcterms:W3CDTF">2025-11-11T21:52:44Z</dcterms:modified>
</cp:coreProperties>
</file>