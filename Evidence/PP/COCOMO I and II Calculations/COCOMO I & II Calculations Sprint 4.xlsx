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neelp\Downloads\"/>
    </mc:Choice>
  </mc:AlternateContent>
  <xr:revisionPtr revIDLastSave="0" documentId="13_ncr:1_{EA1A5442-C730-430A-8D89-71F4F0B77F0F}" xr6:coauthVersionLast="47" xr6:coauthVersionMax="47" xr10:uidLastSave="{00000000-0000-0000-0000-000000000000}"/>
  <bookViews>
    <workbookView xWindow="-28920" yWindow="-120" windowWidth="29040" windowHeight="16440" xr2:uid="{8C05499B-E777-4CB1-ACAA-0667EC699DC3}"/>
  </bookViews>
  <sheets>
    <sheet name="COCOMO I and II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31" i="1" l="1"/>
  <c r="B47" i="1"/>
  <c r="B43" i="1"/>
  <c r="B46" i="1" s="1"/>
  <c r="C24" i="1"/>
  <c r="B20" i="1"/>
  <c r="C28" i="1"/>
  <c r="D28" i="1" s="1"/>
  <c r="E28" i="1" s="1"/>
  <c r="F28" i="1" s="1"/>
  <c r="C27" i="1"/>
  <c r="D27" i="1" s="1"/>
  <c r="C26" i="1"/>
  <c r="D26" i="1" s="1"/>
  <c r="C25" i="1"/>
  <c r="D25" i="1" s="1"/>
  <c r="E25" i="1" s="1"/>
  <c r="D24" i="1"/>
  <c r="C31" i="1" l="1"/>
  <c r="B32" i="1"/>
  <c r="C32" i="1" s="1"/>
  <c r="D32" i="1" s="1"/>
  <c r="E26" i="1"/>
  <c r="F26" i="1" s="1"/>
  <c r="E24" i="1"/>
  <c r="F24" i="1" s="1"/>
  <c r="E27" i="1"/>
  <c r="F27" i="1" s="1"/>
  <c r="F25" i="1"/>
  <c r="B45" i="1" l="1"/>
  <c r="B50" i="1" s="1"/>
  <c r="D31" i="1"/>
  <c r="E31" i="1" s="1"/>
  <c r="F31" i="1" s="1"/>
  <c r="E32" i="1"/>
  <c r="F32" i="1" s="1"/>
  <c r="B51" i="1" l="1"/>
  <c r="B52" i="1" s="1"/>
</calcChain>
</file>

<file path=xl/sharedStrings.xml><?xml version="1.0" encoding="utf-8"?>
<sst xmlns="http://schemas.openxmlformats.org/spreadsheetml/2006/main" count="83" uniqueCount="70">
  <si>
    <t>COCOMO I</t>
  </si>
  <si>
    <t>KLOC</t>
  </si>
  <si>
    <t>a</t>
  </si>
  <si>
    <t>b</t>
  </si>
  <si>
    <t>c</t>
  </si>
  <si>
    <t>d</t>
  </si>
  <si>
    <t>Organic</t>
  </si>
  <si>
    <t>File name</t>
  </si>
  <si>
    <t>LOC</t>
  </si>
  <si>
    <t>main.py</t>
  </si>
  <si>
    <t>RELY</t>
  </si>
  <si>
    <t>DATA</t>
  </si>
  <si>
    <t>CPLX</t>
  </si>
  <si>
    <t>TIME</t>
  </si>
  <si>
    <t>STOR</t>
  </si>
  <si>
    <t>PVOL</t>
  </si>
  <si>
    <t>PCON</t>
  </si>
  <si>
    <t>ACAP</t>
  </si>
  <si>
    <t>DOCU</t>
  </si>
  <si>
    <t>PCAP</t>
  </si>
  <si>
    <t>AEXP</t>
  </si>
  <si>
    <t>SITE</t>
  </si>
  <si>
    <t>LTEX</t>
  </si>
  <si>
    <t>TOOL</t>
  </si>
  <si>
    <t>SCED</t>
  </si>
  <si>
    <t>EAF Cost Drivers</t>
  </si>
  <si>
    <t>Value Given</t>
  </si>
  <si>
    <t xml:space="preserve">Total EAF = </t>
  </si>
  <si>
    <t>Nominal</t>
  </si>
  <si>
    <t>Reason</t>
  </si>
  <si>
    <t>E (Without EAF)</t>
  </si>
  <si>
    <t>D (Without EAF)</t>
  </si>
  <si>
    <t>P (Without EAF</t>
  </si>
  <si>
    <t>Final Results</t>
  </si>
  <si>
    <t>High quality is required with no acceptable bugs or failures</t>
  </si>
  <si>
    <t>Audio engine, seeking, and queue logic require high complexity</t>
  </si>
  <si>
    <t xml:space="preserve">Team's good experience with Python lowers the language effort. </t>
  </si>
  <si>
    <t xml:space="preserve">Mandatory use of PyCharm and GitHub provides high efficiency. </t>
  </si>
  <si>
    <t xml:space="preserve">Compressed, one and a half month schedule increases effort intensity. </t>
  </si>
  <si>
    <t>COCOMO II</t>
  </si>
  <si>
    <t>Organic development context used for all because it is a small, command line music player application</t>
  </si>
  <si>
    <t>Scale Factor</t>
  </si>
  <si>
    <t>PREC</t>
  </si>
  <si>
    <t>FLEX</t>
  </si>
  <si>
    <t>TEAM</t>
  </si>
  <si>
    <t>PMAT</t>
  </si>
  <si>
    <t>RESL</t>
  </si>
  <si>
    <t>Norminal</t>
  </si>
  <si>
    <t>High, because a small 4 person SCRUM team with the use of GitHub with equal number of story points</t>
  </si>
  <si>
    <t xml:space="preserve">Low, because it is a short student project with not yet fully defined processes. </t>
  </si>
  <si>
    <t xml:space="preserve">E = </t>
  </si>
  <si>
    <t xml:space="preserve">Total SF = </t>
  </si>
  <si>
    <t xml:space="preserve">Size (s) = </t>
  </si>
  <si>
    <t xml:space="preserve">Scale Factors = </t>
  </si>
  <si>
    <t xml:space="preserve">Effort Multiplier = </t>
  </si>
  <si>
    <t xml:space="preserve">Constants = </t>
  </si>
  <si>
    <t>Person-Months</t>
  </si>
  <si>
    <t>a = 2.4, b = 1.05</t>
  </si>
  <si>
    <t>(Organic Mode)</t>
  </si>
  <si>
    <t xml:space="preserve">D = </t>
  </si>
  <si>
    <t>Months</t>
  </si>
  <si>
    <t xml:space="preserve">P = </t>
  </si>
  <si>
    <t>Developers</t>
  </si>
  <si>
    <t>Values</t>
  </si>
  <si>
    <t>player_time.py</t>
  </si>
  <si>
    <t>player_config.py</t>
  </si>
  <si>
    <t>user_data.py</t>
  </si>
  <si>
    <t>player_io.py</t>
  </si>
  <si>
    <t>Overall Sprint 4 without EAF</t>
  </si>
  <si>
    <t>Overall Sprint 4 with EAF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</si>
</sst>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9C8B4C70-51D4-4725-92CC-D6007B15F33E}" name="Table1" displayName="Table1" ref="A22:F32" totalsRowShown="0">
  <autoFilter ref="A22:F32" xr:uid="{9C8B4C70-51D4-4725-92CC-D6007B15F33E}"/>
  <tableColumns count="6">
    <tableColumn id="1" xr3:uid="{9C461A7B-88E7-436E-B54A-38BC57ED3B58}" name="File name"/>
    <tableColumn id="2" xr3:uid="{612E183E-1E75-4B1D-A867-58152B807FFE}" name="LOC"/>
    <tableColumn id="3" xr3:uid="{ADA1D28D-C432-4F42-A2BF-AFBAF6191F21}" name="KLOC"/>
    <tableColumn id="4" xr3:uid="{9EBC7699-F464-4196-A3D0-4CCEBABD8690}" name="E (Without EAF)"/>
    <tableColumn id="5" xr3:uid="{93286981-E169-4E9B-81DF-8CF2B74E6140}" name="D (Without EAF)"/>
    <tableColumn id="6" xr3:uid="{61795B19-A98E-48AF-88E6-6C669CDFEF40}" name="P (Without EAF"/>
  </tableColumns>
  <tableStyleInfo name="TableStyleLight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AEC6C2-1035-40B4-B580-094FC01FC123}">
  <dimension ref="A1:L52"/>
  <sheetViews>
    <sheetView tabSelected="1" topLeftCell="A9" zoomScale="115" zoomScaleNormal="115" workbookViewId="0">
      <selection activeCell="E24" sqref="E24"/>
    </sheetView>
  </sheetViews>
  <sheetFormatPr defaultRowHeight="14.5" x14ac:dyDescent="0.35"/>
  <cols>
    <col min="1" max="1" width="24.26953125" customWidth="1"/>
    <col min="2" max="2" width="13.7265625" bestFit="1" customWidth="1"/>
    <col min="3" max="3" width="12.54296875" customWidth="1"/>
    <col min="4" max="4" width="15.90625" bestFit="1" customWidth="1"/>
    <col min="5" max="5" width="16.1796875" bestFit="1" customWidth="1"/>
    <col min="6" max="6" width="15.36328125" bestFit="1" customWidth="1"/>
  </cols>
  <sheetData>
    <row r="1" spans="1:12" x14ac:dyDescent="0.35">
      <c r="A1" t="s">
        <v>0</v>
      </c>
    </row>
    <row r="2" spans="1:12" x14ac:dyDescent="0.35">
      <c r="A2" t="s">
        <v>40</v>
      </c>
      <c r="H2" t="s">
        <v>6</v>
      </c>
      <c r="I2" t="s">
        <v>2</v>
      </c>
      <c r="J2" t="s">
        <v>3</v>
      </c>
      <c r="K2" t="s">
        <v>4</v>
      </c>
      <c r="L2" t="s">
        <v>5</v>
      </c>
    </row>
    <row r="3" spans="1:12" x14ac:dyDescent="0.35">
      <c r="H3" t="s">
        <v>63</v>
      </c>
      <c r="I3">
        <v>2.4</v>
      </c>
      <c r="J3">
        <v>1.05</v>
      </c>
      <c r="K3">
        <v>2.5</v>
      </c>
      <c r="L3">
        <v>0.38</v>
      </c>
    </row>
    <row r="4" spans="1:12" x14ac:dyDescent="0.35">
      <c r="A4" t="s">
        <v>25</v>
      </c>
      <c r="B4" t="s">
        <v>26</v>
      </c>
      <c r="C4" t="s">
        <v>29</v>
      </c>
    </row>
    <row r="5" spans="1:12" x14ac:dyDescent="0.35">
      <c r="A5" t="s">
        <v>10</v>
      </c>
      <c r="B5">
        <v>1.1499999999999999</v>
      </c>
      <c r="C5" t="s">
        <v>34</v>
      </c>
    </row>
    <row r="6" spans="1:12" x14ac:dyDescent="0.35">
      <c r="A6" t="s">
        <v>11</v>
      </c>
      <c r="B6">
        <v>1</v>
      </c>
      <c r="C6" t="s">
        <v>28</v>
      </c>
    </row>
    <row r="7" spans="1:12" x14ac:dyDescent="0.35">
      <c r="A7" t="s">
        <v>12</v>
      </c>
      <c r="B7">
        <v>1.1499999999999999</v>
      </c>
      <c r="C7" t="s">
        <v>35</v>
      </c>
    </row>
    <row r="8" spans="1:12" x14ac:dyDescent="0.35">
      <c r="A8" t="s">
        <v>13</v>
      </c>
      <c r="B8">
        <v>1</v>
      </c>
      <c r="C8" t="s">
        <v>28</v>
      </c>
    </row>
    <row r="9" spans="1:12" x14ac:dyDescent="0.35">
      <c r="A9" t="s">
        <v>14</v>
      </c>
      <c r="B9">
        <v>1</v>
      </c>
      <c r="C9" t="s">
        <v>28</v>
      </c>
    </row>
    <row r="10" spans="1:12" x14ac:dyDescent="0.35">
      <c r="A10" t="s">
        <v>15</v>
      </c>
      <c r="B10">
        <v>1</v>
      </c>
      <c r="C10" t="s">
        <v>28</v>
      </c>
    </row>
    <row r="11" spans="1:12" x14ac:dyDescent="0.35">
      <c r="A11" t="s">
        <v>16</v>
      </c>
      <c r="B11">
        <v>1</v>
      </c>
      <c r="C11" t="s">
        <v>28</v>
      </c>
    </row>
    <row r="12" spans="1:12" x14ac:dyDescent="0.35">
      <c r="A12" t="s">
        <v>17</v>
      </c>
      <c r="B12">
        <v>1</v>
      </c>
      <c r="C12" t="s">
        <v>28</v>
      </c>
    </row>
    <row r="13" spans="1:12" x14ac:dyDescent="0.35">
      <c r="A13" t="s">
        <v>18</v>
      </c>
      <c r="B13">
        <v>1</v>
      </c>
      <c r="C13" t="s">
        <v>28</v>
      </c>
    </row>
    <row r="14" spans="1:12" x14ac:dyDescent="0.35">
      <c r="A14" t="s">
        <v>19</v>
      </c>
      <c r="B14">
        <v>1</v>
      </c>
      <c r="C14" t="s">
        <v>28</v>
      </c>
    </row>
    <row r="15" spans="1:12" x14ac:dyDescent="0.35">
      <c r="A15" t="s">
        <v>20</v>
      </c>
      <c r="B15">
        <v>1</v>
      </c>
      <c r="C15" t="s">
        <v>28</v>
      </c>
    </row>
    <row r="16" spans="1:12" x14ac:dyDescent="0.35">
      <c r="A16" t="s">
        <v>21</v>
      </c>
      <c r="B16">
        <v>1</v>
      </c>
      <c r="C16" t="s">
        <v>28</v>
      </c>
    </row>
    <row r="17" spans="1:6" x14ac:dyDescent="0.35">
      <c r="A17" t="s">
        <v>22</v>
      </c>
      <c r="B17">
        <v>0.95</v>
      </c>
      <c r="C17" t="s">
        <v>36</v>
      </c>
    </row>
    <row r="18" spans="1:6" x14ac:dyDescent="0.35">
      <c r="A18" t="s">
        <v>23</v>
      </c>
      <c r="B18">
        <v>0.91</v>
      </c>
      <c r="C18" t="s">
        <v>37</v>
      </c>
    </row>
    <row r="19" spans="1:6" x14ac:dyDescent="0.35">
      <c r="A19" t="s">
        <v>24</v>
      </c>
      <c r="B19">
        <v>1.1000000000000001</v>
      </c>
      <c r="C19" t="s">
        <v>38</v>
      </c>
    </row>
    <row r="20" spans="1:6" x14ac:dyDescent="0.35">
      <c r="A20" t="s">
        <v>27</v>
      </c>
      <c r="B20">
        <f>PRODUCT(B5:B19)</f>
        <v>1.2576313750000001</v>
      </c>
    </row>
    <row r="22" spans="1:6" x14ac:dyDescent="0.35">
      <c r="A22" t="s">
        <v>7</v>
      </c>
      <c r="B22" t="s">
        <v>8</v>
      </c>
      <c r="C22" t="s">
        <v>1</v>
      </c>
      <c r="D22" t="s">
        <v>30</v>
      </c>
      <c r="E22" t="s">
        <v>31</v>
      </c>
      <c r="F22" t="s">
        <v>32</v>
      </c>
    </row>
    <row r="24" spans="1:6" x14ac:dyDescent="0.35">
      <c r="A24" t="s">
        <v>64</v>
      </c>
      <c r="B24">
        <v>100</v>
      </c>
      <c r="C24">
        <f t="shared" ref="C24:C28" si="0">B24/1000</f>
        <v>0.1</v>
      </c>
      <c r="D24">
        <f>2.4*C24^1.05</f>
        <v>0.21390022515209897</v>
      </c>
      <c r="E24">
        <f>2.5*D24^0.38</f>
        <v>1.3912983834471302</v>
      </c>
      <c r="F24">
        <f>D24/E24</f>
        <v>0.15374144590187203</v>
      </c>
    </row>
    <row r="25" spans="1:6" x14ac:dyDescent="0.35">
      <c r="A25" t="s">
        <v>65</v>
      </c>
      <c r="B25">
        <v>200</v>
      </c>
      <c r="C25">
        <f t="shared" si="0"/>
        <v>0.2</v>
      </c>
      <c r="D25">
        <f>2.4*C25^1.05</f>
        <v>0.44288680060348246</v>
      </c>
      <c r="E25">
        <f t="shared" ref="E25:E28" si="1">2.5*D25^0.38</f>
        <v>1.8345571642669376</v>
      </c>
      <c r="F25">
        <f t="shared" ref="F25:F28" si="2">D25/E25</f>
        <v>0.24141346436618322</v>
      </c>
    </row>
    <row r="26" spans="1:6" x14ac:dyDescent="0.35">
      <c r="A26" t="s">
        <v>66</v>
      </c>
      <c r="B26">
        <v>250</v>
      </c>
      <c r="C26">
        <f t="shared" si="0"/>
        <v>0.25</v>
      </c>
      <c r="D26">
        <f t="shared" ref="D26:D28" si="3">2.4*C26^1.05</f>
        <v>0.55981979492208445</v>
      </c>
      <c r="E26">
        <f t="shared" si="1"/>
        <v>2.0053876866293487</v>
      </c>
      <c r="F26">
        <f t="shared" si="2"/>
        <v>0.27915788984574269</v>
      </c>
    </row>
    <row r="27" spans="1:6" x14ac:dyDescent="0.35">
      <c r="A27" t="s">
        <v>9</v>
      </c>
      <c r="B27">
        <v>300</v>
      </c>
      <c r="C27">
        <f t="shared" si="0"/>
        <v>0.3</v>
      </c>
      <c r="D27">
        <f t="shared" si="3"/>
        <v>0.67793578549373423</v>
      </c>
      <c r="E27">
        <f t="shared" si="1"/>
        <v>2.1567095487387644</v>
      </c>
      <c r="F27">
        <f t="shared" si="2"/>
        <v>0.3143380089776987</v>
      </c>
    </row>
    <row r="28" spans="1:6" x14ac:dyDescent="0.35">
      <c r="A28" t="s">
        <v>67</v>
      </c>
      <c r="B28">
        <v>150</v>
      </c>
      <c r="C28">
        <f t="shared" si="0"/>
        <v>0.15</v>
      </c>
      <c r="D28">
        <f t="shared" si="3"/>
        <v>0.32742140194329961</v>
      </c>
      <c r="E28">
        <f t="shared" si="1"/>
        <v>1.6356135241630585</v>
      </c>
      <c r="F28">
        <f t="shared" si="2"/>
        <v>0.20018262083693686</v>
      </c>
    </row>
    <row r="30" spans="1:6" x14ac:dyDescent="0.35">
      <c r="A30" t="s">
        <v>33</v>
      </c>
    </row>
    <row r="31" spans="1:6" x14ac:dyDescent="0.35">
      <c r="A31" t="s">
        <v>68</v>
      </c>
      <c r="B31">
        <f>SUM(B24:B28)</f>
        <v>1000</v>
      </c>
      <c r="C31">
        <f>B31/1000</f>
        <v>1</v>
      </c>
      <c r="D31">
        <f>2.4*C31^1.05</f>
        <v>2.4</v>
      </c>
      <c r="E31">
        <f>2.5*D31^0.38</f>
        <v>3.4867457524854744</v>
      </c>
      <c r="F31">
        <f t="shared" ref="F31" si="4">D31/E31</f>
        <v>0.6883209073357861</v>
      </c>
    </row>
    <row r="32" spans="1:6" x14ac:dyDescent="0.35">
      <c r="A32" t="s">
        <v>69</v>
      </c>
      <c r="B32">
        <f>B31</f>
        <v>1000</v>
      </c>
      <c r="C32">
        <f>B32/1000</f>
        <v>1</v>
      </c>
      <c r="D32">
        <f>2.4*(C32^1.05)*B20</f>
        <v>3.0183153000000003</v>
      </c>
      <c r="E32">
        <f>2.5*(D32^0.38)</f>
        <v>3.8040880326156969</v>
      </c>
      <c r="F32">
        <f t="shared" ref="F32" si="5">D32/E32</f>
        <v>0.7934399188771144</v>
      </c>
    </row>
    <row r="35" spans="1:3" x14ac:dyDescent="0.35">
      <c r="A35" t="s">
        <v>39</v>
      </c>
    </row>
    <row r="37" spans="1:3" x14ac:dyDescent="0.35">
      <c r="A37" t="s">
        <v>41</v>
      </c>
      <c r="B37" t="s">
        <v>26</v>
      </c>
      <c r="C37" t="s">
        <v>29</v>
      </c>
    </row>
    <row r="38" spans="1:3" x14ac:dyDescent="0.35">
      <c r="A38" t="s">
        <v>42</v>
      </c>
      <c r="B38">
        <v>3.72</v>
      </c>
      <c r="C38" t="s">
        <v>47</v>
      </c>
    </row>
    <row r="39" spans="1:3" x14ac:dyDescent="0.35">
      <c r="A39" t="s">
        <v>43</v>
      </c>
      <c r="B39">
        <v>3.04</v>
      </c>
      <c r="C39" t="s">
        <v>28</v>
      </c>
    </row>
    <row r="40" spans="1:3" x14ac:dyDescent="0.35">
      <c r="A40" t="s">
        <v>46</v>
      </c>
      <c r="B40">
        <v>4.24</v>
      </c>
      <c r="C40" t="s">
        <v>47</v>
      </c>
    </row>
    <row r="41" spans="1:3" x14ac:dyDescent="0.35">
      <c r="A41" t="s">
        <v>44</v>
      </c>
      <c r="B41">
        <v>2.19</v>
      </c>
      <c r="C41" t="s">
        <v>48</v>
      </c>
    </row>
    <row r="42" spans="1:3" x14ac:dyDescent="0.35">
      <c r="A42" t="s">
        <v>45</v>
      </c>
      <c r="B42">
        <v>6.24</v>
      </c>
      <c r="C42" t="s">
        <v>49</v>
      </c>
    </row>
    <row r="43" spans="1:3" x14ac:dyDescent="0.35">
      <c r="A43" t="s">
        <v>51</v>
      </c>
      <c r="B43">
        <f>SUM(B38:B42)</f>
        <v>19.43</v>
      </c>
    </row>
    <row r="45" spans="1:3" x14ac:dyDescent="0.35">
      <c r="A45" t="s">
        <v>52</v>
      </c>
      <c r="B45">
        <f>C31</f>
        <v>1</v>
      </c>
    </row>
    <row r="46" spans="1:3" x14ac:dyDescent="0.35">
      <c r="A46" t="s">
        <v>53</v>
      </c>
      <c r="B46">
        <f>B43</f>
        <v>19.43</v>
      </c>
    </row>
    <row r="47" spans="1:3" x14ac:dyDescent="0.35">
      <c r="A47" t="s">
        <v>54</v>
      </c>
      <c r="B47">
        <f>B20</f>
        <v>1.2576313750000001</v>
      </c>
    </row>
    <row r="48" spans="1:3" x14ac:dyDescent="0.35">
      <c r="A48" t="s">
        <v>55</v>
      </c>
      <c r="B48" t="s">
        <v>57</v>
      </c>
      <c r="C48" t="s">
        <v>58</v>
      </c>
    </row>
    <row r="50" spans="1:3" x14ac:dyDescent="0.35">
      <c r="A50" t="s">
        <v>50</v>
      </c>
      <c r="B50">
        <f>2.4*B47*(B45)^(1.05+(0.01*B46))</f>
        <v>3.0183153000000003</v>
      </c>
      <c r="C50" t="s">
        <v>56</v>
      </c>
    </row>
    <row r="51" spans="1:3" x14ac:dyDescent="0.35">
      <c r="A51" t="s">
        <v>59</v>
      </c>
      <c r="B51">
        <f>2.5*(B50)^0.38</f>
        <v>3.8040880326156969</v>
      </c>
      <c r="C51" t="s">
        <v>60</v>
      </c>
    </row>
    <row r="52" spans="1:3" x14ac:dyDescent="0.35">
      <c r="A52" t="s">
        <v>61</v>
      </c>
      <c r="B52">
        <f xml:space="preserve"> B50/B51</f>
        <v>0.7934399188771144</v>
      </c>
      <c r="C52" t="s">
        <v>62</v>
      </c>
    </row>
  </sheetData>
  <pageMargins left="0.7" right="0.7" top="0.75" bottom="0.75" header="0.3" footer="0.3"/>
  <pageSetup paperSize="9" orientation="portrait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COCOMO I and II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Patkar, Neel</dc:creator>
  <cp:lastModifiedBy>Patkar, Neel</cp:lastModifiedBy>
  <dcterms:created xsi:type="dcterms:W3CDTF">2025-12-04T16:24:20Z</dcterms:created>
  <dcterms:modified xsi:type="dcterms:W3CDTF">2025-12-30T16:07:58Z</dcterms:modified>
</cp:coreProperties>
</file>