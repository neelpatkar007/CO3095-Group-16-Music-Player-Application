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elp\Downloads\"/>
    </mc:Choice>
  </mc:AlternateContent>
  <xr:revisionPtr revIDLastSave="0" documentId="13_ncr:1_{390CF3F5-EBEE-47DB-8259-8655EC33C500}" xr6:coauthVersionLast="47" xr6:coauthVersionMax="47" xr10:uidLastSave="{00000000-0000-0000-0000-000000000000}"/>
  <bookViews>
    <workbookView xWindow="-110" yWindow="-110" windowWidth="19420" windowHeight="10300" xr2:uid="{8C05499B-E777-4CB1-ACAA-0667EC699DC3}"/>
  </bookViews>
  <sheets>
    <sheet name="COCOMO I and I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1" l="1"/>
  <c r="B61" i="1"/>
  <c r="B60" i="1"/>
  <c r="B57" i="1"/>
  <c r="B56" i="1"/>
  <c r="B55" i="1"/>
  <c r="B53" i="1"/>
  <c r="B40" i="1"/>
  <c r="C24" i="1"/>
  <c r="C40" i="1"/>
  <c r="D40" i="1" s="1"/>
  <c r="E40" i="1" s="1"/>
  <c r="B20" i="1"/>
  <c r="B39" i="1"/>
  <c r="C39" i="1" s="1"/>
  <c r="D39" i="1" s="1"/>
  <c r="C31" i="1"/>
  <c r="D31" i="1" s="1"/>
  <c r="C30" i="1"/>
  <c r="D30" i="1" s="1"/>
  <c r="E30" i="1" s="1"/>
  <c r="C29" i="1"/>
  <c r="D29" i="1" s="1"/>
  <c r="E29" i="1" s="1"/>
  <c r="F29" i="1" s="1"/>
  <c r="C28" i="1"/>
  <c r="D28" i="1" s="1"/>
  <c r="E28" i="1" s="1"/>
  <c r="F28" i="1" s="1"/>
  <c r="C27" i="1"/>
  <c r="D27" i="1" s="1"/>
  <c r="C26" i="1"/>
  <c r="D26" i="1" s="1"/>
  <c r="C25" i="1"/>
  <c r="D25" i="1" s="1"/>
  <c r="E25" i="1" s="1"/>
  <c r="C32" i="1"/>
  <c r="D32" i="1" s="1"/>
  <c r="E32" i="1" s="1"/>
  <c r="F32" i="1" s="1"/>
  <c r="C33" i="1"/>
  <c r="D33" i="1" s="1"/>
  <c r="E33" i="1" s="1"/>
  <c r="C34" i="1"/>
  <c r="D34" i="1" s="1"/>
  <c r="E34" i="1" s="1"/>
  <c r="F34" i="1" s="1"/>
  <c r="C35" i="1"/>
  <c r="D35" i="1" s="1"/>
  <c r="C36" i="1"/>
  <c r="D36" i="1" s="1"/>
  <c r="E36" i="1" s="1"/>
  <c r="F36" i="1" s="1"/>
  <c r="D24" i="1"/>
  <c r="F40" i="1" l="1"/>
  <c r="E26" i="1"/>
  <c r="F26" i="1" s="1"/>
  <c r="E24" i="1"/>
  <c r="F24" i="1" s="1"/>
  <c r="E35" i="1"/>
  <c r="F35" i="1" s="1"/>
  <c r="E39" i="1"/>
  <c r="F39" i="1" s="1"/>
  <c r="E31" i="1"/>
  <c r="F31" i="1" s="1"/>
  <c r="E27" i="1"/>
  <c r="F27" i="1" s="1"/>
  <c r="F33" i="1"/>
  <c r="F25" i="1"/>
  <c r="F30" i="1"/>
</calcChain>
</file>

<file path=xl/sharedStrings.xml><?xml version="1.0" encoding="utf-8"?>
<sst xmlns="http://schemas.openxmlformats.org/spreadsheetml/2006/main" count="92" uniqueCount="79">
  <si>
    <t>COCOMO I</t>
  </si>
  <si>
    <t>KLOC</t>
  </si>
  <si>
    <t>a</t>
  </si>
  <si>
    <t>b</t>
  </si>
  <si>
    <t>c</t>
  </si>
  <si>
    <t>d</t>
  </si>
  <si>
    <t>Organic</t>
  </si>
  <si>
    <t>File name</t>
  </si>
  <si>
    <t>__init__</t>
  </si>
  <si>
    <t>LOC</t>
  </si>
  <si>
    <t>config.py</t>
  </si>
  <si>
    <t>audio_backend.py</t>
  </si>
  <si>
    <t>library.py</t>
  </si>
  <si>
    <t>main.py</t>
  </si>
  <si>
    <t>player_audio.py</t>
  </si>
  <si>
    <t>player_core.py</t>
  </si>
  <si>
    <t>player_help.py</t>
  </si>
  <si>
    <t>player_queue.py</t>
  </si>
  <si>
    <t>player_seek.py</t>
  </si>
  <si>
    <t>player_shortcuts.py</t>
  </si>
  <si>
    <t>player_state.py</t>
  </si>
  <si>
    <t>player_ui.py</t>
  </si>
  <si>
    <t>time_utils.py</t>
  </si>
  <si>
    <t>RELY</t>
  </si>
  <si>
    <t>DATA</t>
  </si>
  <si>
    <t>CPLX</t>
  </si>
  <si>
    <t>TIME</t>
  </si>
  <si>
    <t>STOR</t>
  </si>
  <si>
    <t>PVOL</t>
  </si>
  <si>
    <t>PCON</t>
  </si>
  <si>
    <t>ACAP</t>
  </si>
  <si>
    <t>DOCU</t>
  </si>
  <si>
    <t>PCAP</t>
  </si>
  <si>
    <t>AEXP</t>
  </si>
  <si>
    <t>SITE</t>
  </si>
  <si>
    <t>LTEX</t>
  </si>
  <si>
    <t>TOOL</t>
  </si>
  <si>
    <t>SCED</t>
  </si>
  <si>
    <t>EAF Cost Drivers</t>
  </si>
  <si>
    <t>Value Given</t>
  </si>
  <si>
    <t xml:space="preserve">Total EAF = </t>
  </si>
  <si>
    <t>Nominal</t>
  </si>
  <si>
    <t>Reason</t>
  </si>
  <si>
    <t>E (Without EAF)</t>
  </si>
  <si>
    <t>D (Without EAF)</t>
  </si>
  <si>
    <t>P (Without EAF</t>
  </si>
  <si>
    <t>Final Results</t>
  </si>
  <si>
    <t>Overall Sprint 1 without EAF</t>
  </si>
  <si>
    <t>Overall Sprint 1 with EAF</t>
  </si>
  <si>
    <t>High quality is required with no acceptable bugs or failures</t>
  </si>
  <si>
    <t>Audio engine, seeking, and queue logic require high complexity</t>
  </si>
  <si>
    <t xml:space="preserve">Team's good experience with Python lowers the language effort. </t>
  </si>
  <si>
    <t xml:space="preserve">Mandatory use of PyCharm and GitHub provides high efficiency. </t>
  </si>
  <si>
    <t xml:space="preserve">Compressed, one and a half month schedule increases effort intensity. </t>
  </si>
  <si>
    <t>COCOMO II</t>
  </si>
  <si>
    <t>Organic development context used for all because it is a small, command line music player application</t>
  </si>
  <si>
    <t>Scale Factor</t>
  </si>
  <si>
    <t>PREC</t>
  </si>
  <si>
    <t>FLEX</t>
  </si>
  <si>
    <t>TEAM</t>
  </si>
  <si>
    <t>PMAT</t>
  </si>
  <si>
    <t>RESL</t>
  </si>
  <si>
    <t>Norminal</t>
  </si>
  <si>
    <t>High, because a small 4 person SCRUM team with the use of GitHub with equal number of story points</t>
  </si>
  <si>
    <t xml:space="preserve">Low, because it is a short student project with not yet fully defined processes. </t>
  </si>
  <si>
    <t xml:space="preserve">E = </t>
  </si>
  <si>
    <t xml:space="preserve">Total SF = </t>
  </si>
  <si>
    <t xml:space="preserve">Size (s) = </t>
  </si>
  <si>
    <t xml:space="preserve">Scale Factors = </t>
  </si>
  <si>
    <t xml:space="preserve">Effort Multiplier = </t>
  </si>
  <si>
    <t xml:space="preserve">Constants = </t>
  </si>
  <si>
    <t>Person-Months</t>
  </si>
  <si>
    <t>a = 2.4, b = 1.05</t>
  </si>
  <si>
    <t>(Organic Mode)</t>
  </si>
  <si>
    <t xml:space="preserve">D = </t>
  </si>
  <si>
    <t>Months</t>
  </si>
  <si>
    <t xml:space="preserve">P = </t>
  </si>
  <si>
    <t>Developers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</si>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</sst>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EC6C2-1035-40B4-B580-094FC01FC123}">
  <dimension ref="A1:L62"/>
  <sheetViews>
    <sheetView tabSelected="1" topLeftCell="A49" zoomScale="115" zoomScaleNormal="115" workbookViewId="0">
      <selection activeCell="D58" sqref="D58"/>
    </sheetView>
  </sheetViews>
  <sheetFormatPr defaultRowHeight="14.5" x14ac:dyDescent="0.35"/>
  <cols>
    <col min="1" max="1" width="24.26953125" customWidth="1"/>
    <col min="2" max="2" width="13.7265625" bestFit="1" customWidth="1"/>
    <col min="3" max="3" width="12.54296875" customWidth="1"/>
    <col min="4" max="4" width="13.90625" customWidth="1"/>
    <col min="5" max="5" width="14.08984375" bestFit="1" customWidth="1"/>
    <col min="6" max="6" width="13.1796875" bestFit="1" customWidth="1"/>
  </cols>
  <sheetData>
    <row r="1" spans="1:12" x14ac:dyDescent="0.35">
      <c r="A1" t="s">
        <v>0</v>
      </c>
    </row>
    <row r="2" spans="1:12" x14ac:dyDescent="0.35">
      <c r="A2" t="s">
        <v>55</v>
      </c>
      <c r="H2" t="s">
        <v>6</v>
      </c>
      <c r="I2" t="s">
        <v>2</v>
      </c>
      <c r="J2" t="s">
        <v>3</v>
      </c>
      <c r="K2" t="s">
        <v>4</v>
      </c>
      <c r="L2" t="s">
        <v>5</v>
      </c>
    </row>
    <row r="3" spans="1:12" x14ac:dyDescent="0.35">
      <c r="H3" t="s">
        <v>78</v>
      </c>
      <c r="I3">
        <v>2.4</v>
      </c>
      <c r="J3">
        <v>1.05</v>
      </c>
      <c r="K3">
        <v>2.5</v>
      </c>
      <c r="L3">
        <v>0.38</v>
      </c>
    </row>
    <row r="4" spans="1:12" x14ac:dyDescent="0.35">
      <c r="A4" t="s">
        <v>38</v>
      </c>
      <c r="B4" t="s">
        <v>39</v>
      </c>
      <c r="C4" t="s">
        <v>42</v>
      </c>
    </row>
    <row r="5" spans="1:12" x14ac:dyDescent="0.35">
      <c r="A5" t="s">
        <v>23</v>
      </c>
      <c r="B5">
        <v>1.1499999999999999</v>
      </c>
      <c r="C5" t="s">
        <v>49</v>
      </c>
    </row>
    <row r="6" spans="1:12" x14ac:dyDescent="0.35">
      <c r="A6" t="s">
        <v>24</v>
      </c>
      <c r="B6">
        <v>1</v>
      </c>
      <c r="C6" t="s">
        <v>41</v>
      </c>
    </row>
    <row r="7" spans="1:12" x14ac:dyDescent="0.35">
      <c r="A7" t="s">
        <v>25</v>
      </c>
      <c r="B7">
        <v>1.1499999999999999</v>
      </c>
      <c r="C7" t="s">
        <v>50</v>
      </c>
    </row>
    <row r="8" spans="1:12" x14ac:dyDescent="0.35">
      <c r="A8" t="s">
        <v>26</v>
      </c>
      <c r="B8">
        <v>1</v>
      </c>
      <c r="C8" t="s">
        <v>41</v>
      </c>
    </row>
    <row r="9" spans="1:12" x14ac:dyDescent="0.35">
      <c r="A9" t="s">
        <v>27</v>
      </c>
      <c r="B9">
        <v>1</v>
      </c>
      <c r="C9" t="s">
        <v>41</v>
      </c>
    </row>
    <row r="10" spans="1:12" x14ac:dyDescent="0.35">
      <c r="A10" t="s">
        <v>28</v>
      </c>
      <c r="B10">
        <v>1</v>
      </c>
      <c r="C10" t="s">
        <v>41</v>
      </c>
    </row>
    <row r="11" spans="1:12" x14ac:dyDescent="0.35">
      <c r="A11" t="s">
        <v>29</v>
      </c>
      <c r="B11">
        <v>1</v>
      </c>
      <c r="C11" t="s">
        <v>41</v>
      </c>
    </row>
    <row r="12" spans="1:12" x14ac:dyDescent="0.35">
      <c r="A12" t="s">
        <v>30</v>
      </c>
      <c r="B12">
        <v>1</v>
      </c>
      <c r="C12" t="s">
        <v>41</v>
      </c>
    </row>
    <row r="13" spans="1:12" x14ac:dyDescent="0.35">
      <c r="A13" t="s">
        <v>31</v>
      </c>
      <c r="B13">
        <v>1</v>
      </c>
      <c r="C13" t="s">
        <v>41</v>
      </c>
    </row>
    <row r="14" spans="1:12" x14ac:dyDescent="0.35">
      <c r="A14" t="s">
        <v>32</v>
      </c>
      <c r="B14">
        <v>1</v>
      </c>
      <c r="C14" t="s">
        <v>41</v>
      </c>
    </row>
    <row r="15" spans="1:12" x14ac:dyDescent="0.35">
      <c r="A15" t="s">
        <v>33</v>
      </c>
      <c r="B15">
        <v>1</v>
      </c>
      <c r="C15" t="s">
        <v>41</v>
      </c>
    </row>
    <row r="16" spans="1:12" x14ac:dyDescent="0.35">
      <c r="A16" t="s">
        <v>34</v>
      </c>
      <c r="B16">
        <v>1</v>
      </c>
      <c r="C16" t="s">
        <v>41</v>
      </c>
    </row>
    <row r="17" spans="1:6" x14ac:dyDescent="0.35">
      <c r="A17" t="s">
        <v>35</v>
      </c>
      <c r="B17">
        <v>0.95</v>
      </c>
      <c r="C17" t="s">
        <v>51</v>
      </c>
    </row>
    <row r="18" spans="1:6" x14ac:dyDescent="0.35">
      <c r="A18" t="s">
        <v>36</v>
      </c>
      <c r="B18">
        <v>0.91</v>
      </c>
      <c r="C18" t="s">
        <v>52</v>
      </c>
    </row>
    <row r="19" spans="1:6" x14ac:dyDescent="0.35">
      <c r="A19" t="s">
        <v>37</v>
      </c>
      <c r="B19">
        <v>1.1000000000000001</v>
      </c>
      <c r="C19" t="s">
        <v>53</v>
      </c>
    </row>
    <row r="20" spans="1:6" x14ac:dyDescent="0.35">
      <c r="A20" t="s">
        <v>40</v>
      </c>
      <c r="B20">
        <f>PRODUCT(B5:B19)</f>
        <v>1.2576313750000001</v>
      </c>
    </row>
    <row r="22" spans="1:6" x14ac:dyDescent="0.35">
      <c r="A22" t="s">
        <v>7</v>
      </c>
      <c r="B22" t="s">
        <v>9</v>
      </c>
      <c r="C22" t="s">
        <v>1</v>
      </c>
      <c r="D22" t="s">
        <v>43</v>
      </c>
      <c r="E22" t="s">
        <v>44</v>
      </c>
      <c r="F22" t="s">
        <v>45</v>
      </c>
    </row>
    <row r="23" spans="1:6" x14ac:dyDescent="0.35">
      <c r="A23" t="s">
        <v>8</v>
      </c>
    </row>
    <row r="24" spans="1:6" x14ac:dyDescent="0.35">
      <c r="A24" t="s">
        <v>11</v>
      </c>
      <c r="B24">
        <v>120</v>
      </c>
      <c r="C24">
        <f t="shared" ref="C24:C31" si="0">B24/1000</f>
        <v>0.12</v>
      </c>
      <c r="D24">
        <f>2.4*C24^1.05</f>
        <v>0.25903088542261588</v>
      </c>
      <c r="E24">
        <f>2.5*D24^0.38</f>
        <v>1.4962825037430438</v>
      </c>
      <c r="F24">
        <f>D24/E24</f>
        <v>0.17311629640434475</v>
      </c>
    </row>
    <row r="25" spans="1:6" x14ac:dyDescent="0.35">
      <c r="A25" t="s">
        <v>10</v>
      </c>
      <c r="B25">
        <v>5</v>
      </c>
      <c r="C25">
        <f t="shared" si="0"/>
        <v>5.0000000000000001E-3</v>
      </c>
      <c r="D25">
        <f>2.4*C25^1.05</f>
        <v>9.2072459881311058E-3</v>
      </c>
      <c r="E25">
        <f t="shared" ref="E25:E36" si="1">2.5*D25^0.38</f>
        <v>0.42102638410343313</v>
      </c>
      <c r="F25">
        <f t="shared" ref="F25:F36" si="2">D25/E25</f>
        <v>2.1868572459509263E-2</v>
      </c>
    </row>
    <row r="26" spans="1:6" x14ac:dyDescent="0.35">
      <c r="A26" t="s">
        <v>12</v>
      </c>
      <c r="B26">
        <v>80</v>
      </c>
      <c r="C26">
        <f t="shared" si="0"/>
        <v>0.08</v>
      </c>
      <c r="D26">
        <f t="shared" ref="D26:D36" si="3">2.4*C26^1.05</f>
        <v>0.16922157312990802</v>
      </c>
      <c r="E26">
        <f t="shared" si="1"/>
        <v>1.2727795398385224</v>
      </c>
      <c r="F26">
        <f t="shared" si="2"/>
        <v>0.13295434742090304</v>
      </c>
    </row>
    <row r="27" spans="1:6" x14ac:dyDescent="0.35">
      <c r="A27" t="s">
        <v>13</v>
      </c>
      <c r="B27">
        <v>90</v>
      </c>
      <c r="C27">
        <f t="shared" si="0"/>
        <v>0.09</v>
      </c>
      <c r="D27">
        <f t="shared" si="3"/>
        <v>0.191498720522086</v>
      </c>
      <c r="E27">
        <f t="shared" si="1"/>
        <v>1.3340221535525745</v>
      </c>
      <c r="F27">
        <f t="shared" si="2"/>
        <v>0.14354988034652524</v>
      </c>
    </row>
    <row r="28" spans="1:6" x14ac:dyDescent="0.35">
      <c r="A28" t="s">
        <v>14</v>
      </c>
      <c r="B28">
        <v>60</v>
      </c>
      <c r="C28">
        <f t="shared" si="0"/>
        <v>0.06</v>
      </c>
      <c r="D28">
        <f t="shared" si="3"/>
        <v>0.12510367127163693</v>
      </c>
      <c r="E28">
        <f t="shared" si="1"/>
        <v>1.1347563701945305</v>
      </c>
      <c r="F28">
        <f t="shared" si="2"/>
        <v>0.1102471636710799</v>
      </c>
    </row>
    <row r="29" spans="1:6" x14ac:dyDescent="0.35">
      <c r="A29" t="s">
        <v>15</v>
      </c>
      <c r="B29">
        <v>50</v>
      </c>
      <c r="C29">
        <f t="shared" si="0"/>
        <v>0.05</v>
      </c>
      <c r="D29">
        <f t="shared" si="3"/>
        <v>0.10330699911980819</v>
      </c>
      <c r="E29">
        <f t="shared" si="1"/>
        <v>1.0551381169722664</v>
      </c>
      <c r="F29">
        <f t="shared" si="2"/>
        <v>9.7908508334670977E-2</v>
      </c>
    </row>
    <row r="30" spans="1:6" x14ac:dyDescent="0.35">
      <c r="A30" t="s">
        <v>16</v>
      </c>
      <c r="B30">
        <v>80</v>
      </c>
      <c r="C30">
        <f t="shared" si="0"/>
        <v>0.08</v>
      </c>
      <c r="D30">
        <f t="shared" si="3"/>
        <v>0.16922157312990802</v>
      </c>
      <c r="E30">
        <f t="shared" si="1"/>
        <v>1.2727795398385224</v>
      </c>
      <c r="F30">
        <f t="shared" si="2"/>
        <v>0.13295434742090304</v>
      </c>
    </row>
    <row r="31" spans="1:6" x14ac:dyDescent="0.35">
      <c r="A31" t="s">
        <v>17</v>
      </c>
      <c r="B31">
        <v>180</v>
      </c>
      <c r="C31">
        <f t="shared" si="0"/>
        <v>0.18</v>
      </c>
      <c r="D31">
        <f t="shared" si="3"/>
        <v>0.39650381663403739</v>
      </c>
      <c r="E31">
        <f t="shared" si="1"/>
        <v>1.7590330932657801</v>
      </c>
      <c r="F31">
        <f t="shared" si="2"/>
        <v>0.22541009498456768</v>
      </c>
    </row>
    <row r="32" spans="1:6" x14ac:dyDescent="0.35">
      <c r="A32" t="s">
        <v>18</v>
      </c>
      <c r="B32">
        <v>40</v>
      </c>
      <c r="C32">
        <f t="shared" ref="C32:C36" si="4">B32/1000</f>
        <v>0.04</v>
      </c>
      <c r="D32">
        <f t="shared" si="3"/>
        <v>8.1728632561995349E-2</v>
      </c>
      <c r="E32">
        <f t="shared" si="1"/>
        <v>0.96525534922184386</v>
      </c>
      <c r="F32">
        <f t="shared" si="2"/>
        <v>8.4670478778369057E-2</v>
      </c>
    </row>
    <row r="33" spans="1:6" x14ac:dyDescent="0.35">
      <c r="A33" t="s">
        <v>19</v>
      </c>
      <c r="B33">
        <v>15</v>
      </c>
      <c r="C33">
        <f t="shared" si="4"/>
        <v>1.4999999999999999E-2</v>
      </c>
      <c r="D33">
        <f t="shared" si="3"/>
        <v>2.9181463164703197E-2</v>
      </c>
      <c r="E33">
        <f t="shared" si="1"/>
        <v>0.65265052678136337</v>
      </c>
      <c r="F33">
        <f t="shared" si="2"/>
        <v>4.4712234139479869E-2</v>
      </c>
    </row>
    <row r="34" spans="1:6" x14ac:dyDescent="0.35">
      <c r="A34" t="s">
        <v>20</v>
      </c>
      <c r="B34">
        <v>20</v>
      </c>
      <c r="C34">
        <f t="shared" si="4"/>
        <v>0.02</v>
      </c>
      <c r="D34">
        <f t="shared" si="3"/>
        <v>3.9472327652490681E-2</v>
      </c>
      <c r="E34">
        <f t="shared" si="1"/>
        <v>0.73203399334938302</v>
      </c>
      <c r="F34">
        <f t="shared" si="2"/>
        <v>5.3921440822559515E-2</v>
      </c>
    </row>
    <row r="35" spans="1:6" x14ac:dyDescent="0.35">
      <c r="A35" t="s">
        <v>21</v>
      </c>
      <c r="B35">
        <v>65</v>
      </c>
      <c r="C35">
        <f t="shared" si="4"/>
        <v>6.5000000000000002E-2</v>
      </c>
      <c r="D35">
        <f t="shared" si="3"/>
        <v>0.13607246936531042</v>
      </c>
      <c r="E35">
        <f t="shared" si="1"/>
        <v>1.1715820517781022</v>
      </c>
      <c r="F35">
        <f t="shared" si="2"/>
        <v>0.11614420787583264</v>
      </c>
    </row>
    <row r="36" spans="1:6" x14ac:dyDescent="0.35">
      <c r="A36" t="s">
        <v>22</v>
      </c>
      <c r="B36">
        <v>30</v>
      </c>
      <c r="C36">
        <f t="shared" si="4"/>
        <v>0.03</v>
      </c>
      <c r="D36">
        <f t="shared" si="3"/>
        <v>6.042109048157282E-2</v>
      </c>
      <c r="E36">
        <f t="shared" si="1"/>
        <v>0.86058081710898482</v>
      </c>
      <c r="F36">
        <f t="shared" si="2"/>
        <v>7.0209664543244205E-2</v>
      </c>
    </row>
    <row r="38" spans="1:6" x14ac:dyDescent="0.35">
      <c r="A38" t="s">
        <v>46</v>
      </c>
    </row>
    <row r="39" spans="1:6" x14ac:dyDescent="0.35">
      <c r="A39" t="s">
        <v>47</v>
      </c>
      <c r="B39">
        <f>SUM(B24:B36)</f>
        <v>835</v>
      </c>
      <c r="C39">
        <f>B39/1000</f>
        <v>0.83499999999999996</v>
      </c>
      <c r="D39">
        <f>2.4*C39^1.05</f>
        <v>1.9860127896688256</v>
      </c>
      <c r="E39">
        <f>2.5*D39^0.38</f>
        <v>3.2446898052040423</v>
      </c>
      <c r="F39">
        <f t="shared" ref="F39" si="5">D39/E39</f>
        <v>0.61208094113758749</v>
      </c>
    </row>
    <row r="40" spans="1:6" x14ac:dyDescent="0.35">
      <c r="A40" t="s">
        <v>48</v>
      </c>
      <c r="B40">
        <f>B39</f>
        <v>835</v>
      </c>
      <c r="C40">
        <f>B40/1000</f>
        <v>0.83499999999999996</v>
      </c>
      <c r="D40">
        <f>2.4*(C40^1.05)*B20</f>
        <v>2.4976719954387909</v>
      </c>
      <c r="E40">
        <f>2.5*(D40^0.38)</f>
        <v>3.5400016329634214</v>
      </c>
      <c r="F40">
        <f t="shared" ref="F40" si="6">D40/E40</f>
        <v>0.70555673539278252</v>
      </c>
    </row>
    <row r="45" spans="1:6" x14ac:dyDescent="0.35">
      <c r="A45" t="s">
        <v>54</v>
      </c>
    </row>
    <row r="47" spans="1:6" x14ac:dyDescent="0.35">
      <c r="A47" t="s">
        <v>56</v>
      </c>
      <c r="B47" t="s">
        <v>39</v>
      </c>
      <c r="C47" t="s">
        <v>42</v>
      </c>
    </row>
    <row r="48" spans="1:6" x14ac:dyDescent="0.35">
      <c r="A48" t="s">
        <v>57</v>
      </c>
      <c r="B48">
        <v>3.72</v>
      </c>
      <c r="C48" t="s">
        <v>62</v>
      </c>
    </row>
    <row r="49" spans="1:3" x14ac:dyDescent="0.35">
      <c r="A49" t="s">
        <v>58</v>
      </c>
      <c r="B49">
        <v>3.04</v>
      </c>
      <c r="C49" t="s">
        <v>41</v>
      </c>
    </row>
    <row r="50" spans="1:3" x14ac:dyDescent="0.35">
      <c r="A50" t="s">
        <v>61</v>
      </c>
      <c r="B50">
        <v>4.24</v>
      </c>
      <c r="C50" t="s">
        <v>62</v>
      </c>
    </row>
    <row r="51" spans="1:3" x14ac:dyDescent="0.35">
      <c r="A51" t="s">
        <v>59</v>
      </c>
      <c r="B51">
        <v>2.19</v>
      </c>
      <c r="C51" t="s">
        <v>63</v>
      </c>
    </row>
    <row r="52" spans="1:3" x14ac:dyDescent="0.35">
      <c r="A52" t="s">
        <v>60</v>
      </c>
      <c r="B52">
        <v>6.24</v>
      </c>
      <c r="C52" t="s">
        <v>64</v>
      </c>
    </row>
    <row r="53" spans="1:3" x14ac:dyDescent="0.35">
      <c r="A53" t="s">
        <v>66</v>
      </c>
      <c r="B53">
        <f>SUM(B48:B52)</f>
        <v>19.43</v>
      </c>
    </row>
    <row r="55" spans="1:3" x14ac:dyDescent="0.35">
      <c r="A55" t="s">
        <v>67</v>
      </c>
      <c r="B55">
        <f>C39</f>
        <v>0.83499999999999996</v>
      </c>
    </row>
    <row r="56" spans="1:3" x14ac:dyDescent="0.35">
      <c r="A56" t="s">
        <v>68</v>
      </c>
      <c r="B56">
        <f>B53</f>
        <v>19.43</v>
      </c>
    </row>
    <row r="57" spans="1:3" x14ac:dyDescent="0.35">
      <c r="A57" t="s">
        <v>69</v>
      </c>
      <c r="B57">
        <f>B20</f>
        <v>1.2576313750000001</v>
      </c>
    </row>
    <row r="58" spans="1:3" x14ac:dyDescent="0.35">
      <c r="A58" t="s">
        <v>70</v>
      </c>
      <c r="B58" t="s">
        <v>72</v>
      </c>
      <c r="C58" t="s">
        <v>73</v>
      </c>
    </row>
    <row r="60" spans="1:3" x14ac:dyDescent="0.35">
      <c r="A60" t="s">
        <v>65</v>
      </c>
      <c r="B60">
        <f>2.4*B57*(B55)^(1.05+(0.01*B56))</f>
        <v>2.4116766949494486</v>
      </c>
      <c r="C60" t="s">
        <v>71</v>
      </c>
    </row>
    <row r="61" spans="1:3" x14ac:dyDescent="0.35">
      <c r="A61" t="s">
        <v>74</v>
      </c>
      <c r="B61">
        <f>2.5*(B60)^0.38</f>
        <v>3.4931823858681361</v>
      </c>
      <c r="C61" t="s">
        <v>75</v>
      </c>
    </row>
    <row r="62" spans="1:3" x14ac:dyDescent="0.35">
      <c r="A62" t="s">
        <v>76</v>
      </c>
      <c r="B62">
        <f xml:space="preserve"> B60/B61</f>
        <v>0.69039529819743195</v>
      </c>
      <c r="C62" t="s">
        <v>77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COCOMO I and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Patkar, Neel</dc:creator>
  <cp:lastModifiedBy>Patkar, Neel</cp:lastModifiedBy>
  <dcterms:created xsi:type="dcterms:W3CDTF">2025-12-04T16:24:20Z</dcterms:created>
  <dcterms:modified xsi:type="dcterms:W3CDTF">2025-12-06T12:26:47Z</dcterms:modified>
</cp:coreProperties>
</file>