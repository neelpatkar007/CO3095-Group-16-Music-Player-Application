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1CBBC6CC-AE59-4DEF-A486-CA8A8D51B59D}" xr6:coauthVersionLast="47" xr6:coauthVersionMax="47" xr10:uidLastSave="{00000000-0000-0000-0000-000000000000}"/>
  <bookViews>
    <workbookView xWindow="-110" yWindow="-110" windowWidth="19420" windowHeight="10300" xr2:uid="{62BBB4B8-20C5-4716-8AF8-DEF5FB1D4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1" i="1"/>
  <c r="C30" i="1"/>
  <c r="C29" i="1"/>
  <c r="C28" i="1"/>
  <c r="C32" i="1" l="1"/>
  <c r="B20" i="1"/>
  <c r="B14" i="1" l="1"/>
  <c r="B4" i="1"/>
  <c r="B5" i="1"/>
  <c r="B6" i="1"/>
  <c r="B8" i="1" l="1"/>
  <c r="B9" i="1"/>
  <c r="B11" i="1"/>
  <c r="B15" i="1" s="1"/>
  <c r="B16" i="1" s="1"/>
  <c r="B12" i="1"/>
</calcChain>
</file>

<file path=xl/sharedStrings.xml><?xml version="1.0" encoding="utf-8"?>
<sst xmlns="http://schemas.openxmlformats.org/spreadsheetml/2006/main" count="78" uniqueCount="70">
  <si>
    <t>EV</t>
  </si>
  <si>
    <t>PV</t>
  </si>
  <si>
    <t>AC</t>
  </si>
  <si>
    <t>CV</t>
  </si>
  <si>
    <t>SV</t>
  </si>
  <si>
    <t>CPI</t>
  </si>
  <si>
    <t>SPI</t>
  </si>
  <si>
    <t>EAC</t>
  </si>
  <si>
    <t>VAC</t>
  </si>
  <si>
    <t>BAC-EAC</t>
  </si>
  <si>
    <t>BAC/CPI</t>
  </si>
  <si>
    <t>EV/PV</t>
  </si>
  <si>
    <t>PV to date * RP</t>
  </si>
  <si>
    <t>EV-AC</t>
  </si>
  <si>
    <t>EV/AC</t>
  </si>
  <si>
    <t>EV-PV</t>
  </si>
  <si>
    <t>BAC</t>
  </si>
  <si>
    <t>Total</t>
  </si>
  <si>
    <t>Total Planned Hours</t>
  </si>
  <si>
    <t xml:space="preserve">Hourly Rate </t>
  </si>
  <si>
    <t>Cost per Point</t>
  </si>
  <si>
    <t>GBP</t>
  </si>
  <si>
    <t xml:space="preserve">Total Planned Story Points </t>
  </si>
  <si>
    <t>Yearly Salary</t>
  </si>
  <si>
    <t>(£30000/52 weeks/40 hours)</t>
  </si>
  <si>
    <t>EV (Earned Value)</t>
  </si>
  <si>
    <t>PV (Planned Value)</t>
  </si>
  <si>
    <t>AC (Actual Cost)</t>
  </si>
  <si>
    <t>SV (Schedule Variance)</t>
  </si>
  <si>
    <t>CV (Cost Variance)</t>
  </si>
  <si>
    <t>CPI (Cost Performance Index)</t>
  </si>
  <si>
    <t>SPI (Schedule Performance Index)</t>
  </si>
  <si>
    <t>VAC (Variance at Completion)</t>
  </si>
  <si>
    <t>EAC (Estimate at Completion)</t>
  </si>
  <si>
    <t>BAC (Budget at Completion)</t>
  </si>
  <si>
    <t>Metric</t>
  </si>
  <si>
    <t>Value</t>
  </si>
  <si>
    <t>Team Member</t>
  </si>
  <si>
    <t>Units Contributed</t>
  </si>
  <si>
    <t>Raiyan</t>
  </si>
  <si>
    <t>Neel</t>
  </si>
  <si>
    <t>Samuel</t>
  </si>
  <si>
    <t>Sanil</t>
  </si>
  <si>
    <t>£15*4 = £60</t>
  </si>
  <si>
    <t>Each day counts as 4 hours</t>
  </si>
  <si>
    <t>Daily Rate</t>
  </si>
  <si>
    <t>Unit</t>
  </si>
  <si>
    <t>Calculate</t>
  </si>
  <si>
    <t>Cost Contribution (£60/unit)</t>
  </si>
  <si>
    <t>EVM All Sprints</t>
  </si>
  <si>
    <t>(372*15)/203=£27.49 per point</t>
  </si>
  <si>
    <t>Sprint</t>
  </si>
  <si>
    <t>Dates</t>
  </si>
  <si>
    <t>PV (£)</t>
  </si>
  <si>
    <t>AC (£)</t>
  </si>
  <si>
    <t>Points</t>
  </si>
  <si>
    <t>Cost/Point</t>
  </si>
  <si>
    <t>Sprint 1</t>
  </si>
  <si>
    <t>12 Nov - 03 Dec</t>
  </si>
  <si>
    <t>Sprint 2</t>
  </si>
  <si>
    <t>04 Dec - 18 Dec</t>
  </si>
  <si>
    <t>Sprint 3</t>
  </si>
  <si>
    <t>19 Dec - 25 Dec</t>
  </si>
  <si>
    <t>Sprint 4</t>
  </si>
  <si>
    <t>26 Dec - 01 Jan</t>
  </si>
  <si>
    <t>TOTAL</t>
  </si>
  <si>
    <t>All Sprints</t>
  </si>
  <si>
    <t>The table above shows that as the project progressed, the Cost per Story Point decreased significantly showing that</t>
  </si>
  <si>
    <t>we as a team became more efficient over time as each Sprint went by</t>
  </si>
  <si>
    <t xml:space="preserve">Overall, there was a 75% reduction in Cost per Point from the first to the last Sprint.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</si>
</sst>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8" fontId="0" fillId="0" borderId="0" xfId="0" applyNumberFormat="1"/>
    <xf numFmtId="0" fontId="0" fillId="0" borderId="0" xfId="0" applyFill="1"/>
    <xf numFmtId="6" fontId="0" fillId="0" borderId="0" xfId="0" applyNumberFormat="1" applyFill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0" formatCode="&quot;£&quot;#,##0;[Red]\-&quot;£&quot;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2" formatCode="&quot;£&quot;#,##0.00;[Red]\-&quot;£&quot;#,##0.00"/>
    </dxf>
    <dxf>
      <numFmt numFmtId="10" formatCode="&quot;£&quot;#,##0;[Red]\-&quot;£&quot;#,##0"/>
    </dxf>
    <dxf>
      <numFmt numFmtId="10" formatCode="&quot;£&quot;#,##0;[Red]\-&quot;£&quot;#,##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332443</xdr:colOff>
      <xdr:row>34</xdr:row>
      <xdr:rowOff>175561</xdr:rowOff>
    </xdr:from>
    <xdr:to>
      <xdr:col>13</xdr:col>
      <xdr:colOff>35300</xdr:colOff>
      <xdr:row>51</xdr:row>
      <xdr:rowOff>44265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25126C-A27A-9886-EFDD-887CA7E7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1031" y="6525561"/>
          <a:ext cx="4879975" cy="3043704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459440</xdr:colOff>
      <xdr:row>18</xdr:row>
      <xdr:rowOff>175558</xdr:rowOff>
    </xdr:from>
    <xdr:to>
      <xdr:col>13</xdr:col>
      <xdr:colOff>159122</xdr:colOff>
      <xdr:row>34</xdr:row>
      <xdr:rowOff>111498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2916AD-4CC3-3CDC-3E3D-7F31D2AF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8028" y="3537323"/>
          <a:ext cx="4876800" cy="2924175"/>
        </a:xfrm>
        <a:prstGeom prst="rect">
          <a:avLst/>
        </a:prstGeom>
      </xdr:spPr>
    </xdr:pic>
    <xdr:clientData/>
  </xdr:twoCellAnchor>
  <xdr:twoCellAnchor editAs="oneCell">
    <xdr:from>
      <xdr:col>6</xdr:col>
      <xdr:colOff>552822</xdr:colOff>
      <xdr:row>1</xdr:row>
      <xdr:rowOff>37353</xdr:rowOff>
    </xdr:from>
    <xdr:to>
      <xdr:col>10</xdr:col>
      <xdr:colOff>840439</xdr:colOff>
      <xdr:row>18</xdr:row>
      <xdr:rowOff>48558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604F5C-BF1A-DE2A-C3C4-FA4EA25A1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1410" y="224118"/>
          <a:ext cx="3186205" cy="3186205"/>
        </a:xfrm>
        <a:prstGeom prst="rect">
          <a:avLst/>
        </a:prstGeom>
      </xdr:spPr>
    </xdr:pic>
    <xdr:clientData/>
  </xdr:twoCellAnchor>
  <xdr:twoCellAnchor editAs="oneCell">
    <xdr:from>
      <xdr:col>0</xdr:col>
      <xdr:colOff>418353</xdr:colOff>
      <xdr:row>45</xdr:row>
      <xdr:rowOff>56496</xdr:rowOff>
    </xdr:from>
    <xdr:to>
      <xdr:col>2</xdr:col>
      <xdr:colOff>825501</xdr:colOff>
      <xdr:row>59</xdr:row>
      <xdr:rowOff>156883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42360A-1EB1-F63D-A2CF-1F504A80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8353" y="8460908"/>
          <a:ext cx="4344148" cy="27150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498A9-BC98-4742-BC81-D6B3B4526244}" name="Table1" displayName="Table1" ref="A3:C16" totalsRowShown="0">
  <autoFilter ref="A3:C16" xr:uid="{BE0498A9-BC98-4742-BC81-D6B3B4526244}"/>
  <tableColumns count="3">
    <tableColumn id="1" xr3:uid="{547314EA-297F-45A8-B138-8BDA2B73359E}" name="Metric"/>
    <tableColumn id="2" xr3:uid="{98841052-8A34-4CD4-8931-EF0179CDE003}" name="Value" dataDxfId="8"/>
    <tableColumn id="3" xr3:uid="{A1437419-D83F-4593-9C5F-A8D134375443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B31D5-2F9D-421B-A6FA-549E5C490579}" name="Table2" displayName="Table2" ref="E3:F13" totalsRowShown="0">
  <autoFilter ref="E3:F13" xr:uid="{FE6B31D5-2F9D-421B-A6FA-549E5C490579}"/>
  <tableColumns count="2">
    <tableColumn id="1" xr3:uid="{CBF80CA7-E41C-42D5-9CB9-A2505D7226EF}" name="Metric"/>
    <tableColumn id="2" xr3:uid="{307C5516-B482-4316-9EC6-3009F166FA76}" name="Calcu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60852-368F-4791-BEF2-350DD11DB06A}" name="Table3" displayName="Table3" ref="A27:C32" totalsRowShown="0" headerRowDxfId="1" dataDxfId="0">
  <autoFilter ref="A27:C32" xr:uid="{FAD60852-368F-4791-BEF2-350DD11DB06A}"/>
  <tableColumns count="3">
    <tableColumn id="1" xr3:uid="{BB0E2826-A6F7-4A1A-82CB-ADA34D86C350}" name="Team Member" dataDxfId="4"/>
    <tableColumn id="2" xr3:uid="{745D4D8A-2FBC-47AA-9D60-5C1108E4A23F}" name="Units Contributed" dataDxfId="3"/>
    <tableColumn id="3" xr3:uid="{76268C88-B98A-4433-80B7-E77D1F221973}" name="Cost Contribution (£60/unit)" dataDxfId="2">
      <calculatedColumnFormula>Table3[[#This Row],[Units Contributed]]*60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D1A0C4-C087-4B54-B55A-10CDCD51EDB9}" name="Table4" displayName="Table4" ref="A35:F40" totalsRowShown="0">
  <autoFilter ref="A35:F40" xr:uid="{69D1A0C4-C087-4B54-B55A-10CDCD51EDB9}"/>
  <tableColumns count="6">
    <tableColumn id="1" xr3:uid="{8B6E24AF-4CB1-40A4-AB97-488C41EC5189}" name="Sprint"/>
    <tableColumn id="2" xr3:uid="{480B2276-D226-4330-937C-0425D48A4CE1}" name="Dates"/>
    <tableColumn id="3" xr3:uid="{613872D2-B2E6-4FEE-B8A9-6CE034A4ECAB}" name="PV (£)" dataDxfId="7"/>
    <tableColumn id="4" xr3:uid="{D5CF3D0C-289A-4DE2-AF7B-61B5486E7330}" name="AC (£)" dataDxfId="6"/>
    <tableColumn id="5" xr3:uid="{C1D494D6-4E8B-4C0B-B19E-242893B53551}" name="Points"/>
    <tableColumn id="6" xr3:uid="{C0EEB056-148E-4651-B117-E737D4AEF010}" name="Cost/Poin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23DD-9775-417F-BB42-4B825A4082CE}">
  <dimension ref="A1:J44"/>
  <sheetViews>
    <sheetView tabSelected="1" topLeftCell="A29" zoomScale="85" zoomScaleNormal="85" workbookViewId="0">
      <selection activeCell="E39" sqref="E39"/>
    </sheetView>
  </sheetViews>
  <sheetFormatPr defaultRowHeight="14.5" x14ac:dyDescent="0.35"/>
  <cols>
    <col min="1" max="1" width="29.26953125" bestFit="1" customWidth="1"/>
    <col min="2" max="2" width="27.08984375" customWidth="1"/>
    <col min="3" max="3" width="25.08984375" bestFit="1" customWidth="1"/>
    <col min="5" max="5" width="10.54296875" customWidth="1"/>
    <col min="6" max="6" width="13.36328125" bestFit="1" customWidth="1"/>
    <col min="7" max="7" width="8.54296875" customWidth="1"/>
    <col min="8" max="8" width="11.453125" customWidth="1"/>
    <col min="9" max="9" width="10.6328125" customWidth="1"/>
    <col min="10" max="10" width="10.90625" customWidth="1"/>
    <col min="11" max="11" width="12.6328125" customWidth="1"/>
    <col min="12" max="12" width="11.26953125" customWidth="1"/>
    <col min="14" max="14" width="9" customWidth="1"/>
  </cols>
  <sheetData>
    <row r="1" spans="1:10" x14ac:dyDescent="0.35">
      <c r="A1" t="s">
        <v>49</v>
      </c>
    </row>
    <row r="3" spans="1:10" x14ac:dyDescent="0.35">
      <c r="A3" t="s">
        <v>35</v>
      </c>
      <c r="B3" t="s">
        <v>36</v>
      </c>
      <c r="C3" t="s">
        <v>46</v>
      </c>
      <c r="E3" t="s">
        <v>35</v>
      </c>
      <c r="F3" t="s">
        <v>47</v>
      </c>
    </row>
    <row r="4" spans="1:10" x14ac:dyDescent="0.35">
      <c r="A4" t="s">
        <v>25</v>
      </c>
      <c r="B4" s="1">
        <f>C32</f>
        <v>5580</v>
      </c>
      <c r="C4" t="s">
        <v>21</v>
      </c>
      <c r="E4" t="s">
        <v>0</v>
      </c>
      <c r="F4" t="s">
        <v>12</v>
      </c>
    </row>
    <row r="5" spans="1:10" x14ac:dyDescent="0.35">
      <c r="A5" t="s">
        <v>26</v>
      </c>
      <c r="B5" s="1">
        <f>C32</f>
        <v>5580</v>
      </c>
      <c r="C5" t="s">
        <v>21</v>
      </c>
      <c r="E5" t="s">
        <v>1</v>
      </c>
    </row>
    <row r="6" spans="1:10" x14ac:dyDescent="0.35">
      <c r="A6" t="s">
        <v>27</v>
      </c>
      <c r="B6" s="1">
        <f>C32</f>
        <v>5580</v>
      </c>
      <c r="C6" t="s">
        <v>21</v>
      </c>
      <c r="E6" t="s">
        <v>2</v>
      </c>
    </row>
    <row r="7" spans="1:10" x14ac:dyDescent="0.35">
      <c r="E7" t="s">
        <v>3</v>
      </c>
      <c r="F7" t="s">
        <v>13</v>
      </c>
    </row>
    <row r="8" spans="1:10" x14ac:dyDescent="0.35">
      <c r="A8" t="s">
        <v>29</v>
      </c>
      <c r="B8">
        <f>B4-B6</f>
        <v>0</v>
      </c>
      <c r="C8" t="s">
        <v>21</v>
      </c>
      <c r="E8" t="s">
        <v>4</v>
      </c>
      <c r="F8" t="s">
        <v>15</v>
      </c>
    </row>
    <row r="9" spans="1:10" x14ac:dyDescent="0.35">
      <c r="A9" t="s">
        <v>28</v>
      </c>
      <c r="B9">
        <f>B4-B5</f>
        <v>0</v>
      </c>
      <c r="C9" t="s">
        <v>21</v>
      </c>
      <c r="E9" t="s">
        <v>5</v>
      </c>
      <c r="F9" t="s">
        <v>14</v>
      </c>
    </row>
    <row r="10" spans="1:10" x14ac:dyDescent="0.35">
      <c r="E10" t="s">
        <v>6</v>
      </c>
      <c r="F10" t="s">
        <v>11</v>
      </c>
    </row>
    <row r="11" spans="1:10" x14ac:dyDescent="0.35">
      <c r="A11" t="s">
        <v>30</v>
      </c>
      <c r="B11">
        <f>B4/B6</f>
        <v>1</v>
      </c>
      <c r="E11" t="s">
        <v>16</v>
      </c>
      <c r="J11" s="1"/>
    </row>
    <row r="12" spans="1:10" x14ac:dyDescent="0.35">
      <c r="A12" t="s">
        <v>31</v>
      </c>
      <c r="B12">
        <f>B4/B5</f>
        <v>1</v>
      </c>
      <c r="E12" t="s">
        <v>7</v>
      </c>
      <c r="F12" t="s">
        <v>10</v>
      </c>
    </row>
    <row r="13" spans="1:10" x14ac:dyDescent="0.35">
      <c r="E13" t="s">
        <v>8</v>
      </c>
      <c r="F13" t="s">
        <v>9</v>
      </c>
    </row>
    <row r="14" spans="1:10" x14ac:dyDescent="0.35">
      <c r="A14" t="s">
        <v>34</v>
      </c>
      <c r="B14" s="1">
        <f>C32</f>
        <v>5580</v>
      </c>
      <c r="C14" t="s">
        <v>21</v>
      </c>
    </row>
    <row r="15" spans="1:10" x14ac:dyDescent="0.35">
      <c r="A15" t="s">
        <v>33</v>
      </c>
      <c r="B15">
        <f>B14/B11</f>
        <v>5580</v>
      </c>
      <c r="C15" t="s">
        <v>21</v>
      </c>
    </row>
    <row r="16" spans="1:10" x14ac:dyDescent="0.35">
      <c r="A16" t="s">
        <v>32</v>
      </c>
      <c r="B16">
        <f>B14-B15</f>
        <v>0</v>
      </c>
      <c r="C16" t="s">
        <v>21</v>
      </c>
    </row>
    <row r="19" spans="1:3" x14ac:dyDescent="0.35">
      <c r="A19" t="s">
        <v>22</v>
      </c>
      <c r="B19">
        <v>203</v>
      </c>
    </row>
    <row r="20" spans="1:3" x14ac:dyDescent="0.35">
      <c r="A20" t="s">
        <v>18</v>
      </c>
      <c r="B20">
        <f>B32*4</f>
        <v>372</v>
      </c>
    </row>
    <row r="21" spans="1:3" x14ac:dyDescent="0.35">
      <c r="A21" t="s">
        <v>23</v>
      </c>
      <c r="B21" s="1">
        <v>30000</v>
      </c>
    </row>
    <row r="22" spans="1:3" x14ac:dyDescent="0.35">
      <c r="A22" t="s">
        <v>19</v>
      </c>
      <c r="B22" s="1">
        <v>15</v>
      </c>
      <c r="C22" t="s">
        <v>24</v>
      </c>
    </row>
    <row r="23" spans="1:3" x14ac:dyDescent="0.35">
      <c r="A23" t="s">
        <v>45</v>
      </c>
      <c r="B23" t="s">
        <v>43</v>
      </c>
      <c r="C23" t="s">
        <v>44</v>
      </c>
    </row>
    <row r="24" spans="1:3" x14ac:dyDescent="0.35">
      <c r="A24" t="s">
        <v>20</v>
      </c>
      <c r="B24" t="s">
        <v>50</v>
      </c>
    </row>
    <row r="27" spans="1:3" x14ac:dyDescent="0.35">
      <c r="A27" s="3" t="s">
        <v>37</v>
      </c>
      <c r="B27" s="3" t="s">
        <v>38</v>
      </c>
      <c r="C27" s="3" t="s">
        <v>48</v>
      </c>
    </row>
    <row r="28" spans="1:3" x14ac:dyDescent="0.35">
      <c r="A28" s="3" t="s">
        <v>39</v>
      </c>
      <c r="B28" s="3">
        <v>34</v>
      </c>
      <c r="C28" s="4">
        <f>Table3[[#This Row],[Units Contributed]]*60</f>
        <v>2040</v>
      </c>
    </row>
    <row r="29" spans="1:3" x14ac:dyDescent="0.35">
      <c r="A29" s="3" t="s">
        <v>40</v>
      </c>
      <c r="B29" s="3">
        <v>26</v>
      </c>
      <c r="C29" s="4">
        <f>Table3[[#This Row],[Units Contributed]]*60</f>
        <v>1560</v>
      </c>
    </row>
    <row r="30" spans="1:3" x14ac:dyDescent="0.35">
      <c r="A30" s="3" t="s">
        <v>41</v>
      </c>
      <c r="B30" s="3">
        <v>15</v>
      </c>
      <c r="C30" s="4">
        <f>Table3[[#This Row],[Units Contributed]]*60</f>
        <v>900</v>
      </c>
    </row>
    <row r="31" spans="1:3" x14ac:dyDescent="0.35">
      <c r="A31" s="3" t="s">
        <v>42</v>
      </c>
      <c r="B31" s="3">
        <v>18</v>
      </c>
      <c r="C31" s="4">
        <f>Table3[[#This Row],[Units Contributed]]*60</f>
        <v>1080</v>
      </c>
    </row>
    <row r="32" spans="1:3" x14ac:dyDescent="0.35">
      <c r="A32" s="3" t="s">
        <v>17</v>
      </c>
      <c r="B32" s="3">
        <f>SUM(B28:B31)</f>
        <v>93</v>
      </c>
      <c r="C32" s="4">
        <f>Table3[[#This Row],[Units Contributed]]*60</f>
        <v>5580</v>
      </c>
    </row>
    <row r="35" spans="1:6" x14ac:dyDescent="0.35">
      <c r="A35" t="s">
        <v>51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</row>
    <row r="36" spans="1:6" x14ac:dyDescent="0.35">
      <c r="A36" t="s">
        <v>57</v>
      </c>
      <c r="B36" t="s">
        <v>58</v>
      </c>
      <c r="C36" s="1">
        <v>1860</v>
      </c>
      <c r="D36" s="1">
        <v>1860</v>
      </c>
      <c r="E36">
        <v>35</v>
      </c>
      <c r="F36" s="2">
        <v>53.14</v>
      </c>
    </row>
    <row r="37" spans="1:6" x14ac:dyDescent="0.35">
      <c r="A37" t="s">
        <v>59</v>
      </c>
      <c r="B37" t="s">
        <v>60</v>
      </c>
      <c r="C37" s="1">
        <v>1800</v>
      </c>
      <c r="D37" s="1">
        <v>1800</v>
      </c>
      <c r="E37">
        <v>40</v>
      </c>
      <c r="F37" s="2">
        <v>45</v>
      </c>
    </row>
    <row r="38" spans="1:6" x14ac:dyDescent="0.35">
      <c r="A38" t="s">
        <v>61</v>
      </c>
      <c r="B38" t="s">
        <v>62</v>
      </c>
      <c r="C38" s="1">
        <v>1020</v>
      </c>
      <c r="D38" s="1">
        <v>1020</v>
      </c>
      <c r="E38">
        <v>58</v>
      </c>
      <c r="F38" s="2">
        <v>17.59</v>
      </c>
    </row>
    <row r="39" spans="1:6" x14ac:dyDescent="0.35">
      <c r="A39" t="s">
        <v>63</v>
      </c>
      <c r="B39" t="s">
        <v>64</v>
      </c>
      <c r="C39" s="1">
        <v>900</v>
      </c>
      <c r="D39" s="1">
        <v>900</v>
      </c>
      <c r="E39">
        <v>70</v>
      </c>
      <c r="F39" s="2">
        <v>12.86</v>
      </c>
    </row>
    <row r="40" spans="1:6" x14ac:dyDescent="0.35">
      <c r="A40" t="s">
        <v>65</v>
      </c>
      <c r="B40" t="s">
        <v>66</v>
      </c>
      <c r="C40" s="1">
        <v>5580</v>
      </c>
      <c r="D40" s="1">
        <v>5580</v>
      </c>
      <c r="E40">
        <v>203</v>
      </c>
      <c r="F40" s="2">
        <v>27.49</v>
      </c>
    </row>
    <row r="42" spans="1:6" x14ac:dyDescent="0.35">
      <c r="A42" t="s">
        <v>67</v>
      </c>
    </row>
    <row r="43" spans="1:6" x14ac:dyDescent="0.35">
      <c r="A43" t="s">
        <v>68</v>
      </c>
    </row>
    <row r="44" spans="1:6" x14ac:dyDescent="0.35">
      <c r="A44" t="s">
        <v>69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2025-12-19T00:07:58Z</dcterms:created>
  <dcterms:modified xsi:type="dcterms:W3CDTF">2025-12-30T18:08:02Z</dcterms:modified>
</cp:coreProperties>
</file>