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Downloads\"/>
    </mc:Choice>
  </mc:AlternateContent>
  <xr:revisionPtr revIDLastSave="0" documentId="13_ncr:1_{A4B3FBD3-DBAC-48FD-81B8-B52A06A0087E}" xr6:coauthVersionLast="47" xr6:coauthVersionMax="47" xr10:uidLastSave="{00000000-0000-0000-0000-000000000000}"/>
  <bookViews>
    <workbookView xWindow="-110" yWindow="-110" windowWidth="19420" windowHeight="10300" xr2:uid="{62BBB4B8-20C5-4716-8AF8-DEF5FB1D45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B8" i="1"/>
  <c r="B9" i="1"/>
  <c r="B11" i="1"/>
  <c r="B15" i="1" s="1"/>
  <c r="B12" i="1"/>
  <c r="B16" i="1" l="1"/>
</calcChain>
</file>

<file path=xl/sharedStrings.xml><?xml version="1.0" encoding="utf-8"?>
<sst xmlns="http://schemas.openxmlformats.org/spreadsheetml/2006/main" count="60" uniqueCount="52">
  <si>
    <t>EVM Sprint 1</t>
  </si>
  <si>
    <t>EV</t>
  </si>
  <si>
    <t>PV</t>
  </si>
  <si>
    <t>AC</t>
  </si>
  <si>
    <t>CV</t>
  </si>
  <si>
    <t>SV</t>
  </si>
  <si>
    <t>CPI</t>
  </si>
  <si>
    <t>SPI</t>
  </si>
  <si>
    <t>EAC</t>
  </si>
  <si>
    <t>VAC</t>
  </si>
  <si>
    <t>BAC-EAC</t>
  </si>
  <si>
    <t>BAC/CPI</t>
  </si>
  <si>
    <t>EV/PV</t>
  </si>
  <si>
    <t>PV to date * RP</t>
  </si>
  <si>
    <t>EV-AC</t>
  </si>
  <si>
    <t>EV/AC</t>
  </si>
  <si>
    <t>EV-PV</t>
  </si>
  <si>
    <t>BAC</t>
  </si>
  <si>
    <t>Total</t>
  </si>
  <si>
    <t>Total Planned Hours</t>
  </si>
  <si>
    <t xml:space="preserve">Hourly Rate </t>
  </si>
  <si>
    <t>38*4=152</t>
  </si>
  <si>
    <t>Cost per Point</t>
  </si>
  <si>
    <t>(152*15)/35=£65.14 per point</t>
  </si>
  <si>
    <t>GBP</t>
  </si>
  <si>
    <t xml:space="preserve">Total Planned Story Points </t>
  </si>
  <si>
    <t>Yearly Salary</t>
  </si>
  <si>
    <t>(£30000/52 weeks/40 hours)</t>
  </si>
  <si>
    <t>EV (Earned Value)</t>
  </si>
  <si>
    <t>PV (Planned Value)</t>
  </si>
  <si>
    <t>AC (Actual Cost)</t>
  </si>
  <si>
    <t>SV (Schedule Variance)</t>
  </si>
  <si>
    <t>CV (Cost Variance)</t>
  </si>
  <si>
    <t>CPI (Cost Performance Index)</t>
  </si>
  <si>
    <t>SPI (Schedule Performance Index)</t>
  </si>
  <si>
    <t>VAC (Variance at Completion)</t>
  </si>
  <si>
    <t>EAC (Estimate at Completion)</t>
  </si>
  <si>
    <t>BAC (Budget at Completion)</t>
  </si>
  <si>
    <t>Metric</t>
  </si>
  <si>
    <t>Value</t>
  </si>
  <si>
    <t>Team Member</t>
  </si>
  <si>
    <t>Units Contributed</t>
  </si>
  <si>
    <t>Cost Contribution</t>
  </si>
  <si>
    <t>Raiyan</t>
  </si>
  <si>
    <t>Neel</t>
  </si>
  <si>
    <t>Samuel</t>
  </si>
  <si>
    <t>Sanil</t>
  </si>
  <si>
    <t>£15*4 = £60</t>
  </si>
  <si>
    <t>Each day counts as 4 hours</t>
  </si>
  <si>
    <t>Daily Rate</t>
  </si>
  <si>
    <t>Unit</t>
  </si>
  <si>
    <t>Calculate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</si>
</sst>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6" fontId="0" fillId="0" borderId="0" xfId="0" applyNumberFormat="1"/>
    <xf numFmtId="0" fontId="0" fillId="0" borderId="0" xfId="0" applyFill="1"/>
  </cellXfs>
  <cellStyles count="1">
    <cellStyle name="Normal" xfId="0" builtinId="0"/>
  </cellStyles>
  <dxfs count="1">
    <dxf>
      <numFmt numFmtId="10" formatCode="&quot;£&quot;#,##0;[Red]\-&quot;£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0498A9-BC98-4742-BC81-D6B3B4526244}" name="Table1" displayName="Table1" ref="A3:C16" totalsRowShown="0">
  <autoFilter ref="A3:C16" xr:uid="{BE0498A9-BC98-4742-BC81-D6B3B4526244}"/>
  <tableColumns count="3">
    <tableColumn id="1" xr3:uid="{547314EA-297F-45A8-B138-8BDA2B73359E}" name="Metric"/>
    <tableColumn id="2" xr3:uid="{98841052-8A34-4CD4-8931-EF0179CDE003}" name="Value"/>
    <tableColumn id="3" xr3:uid="{A1437419-D83F-4593-9C5F-A8D134375443}" name="Un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6B31D5-2F9D-421B-A6FA-549E5C490579}" name="Table2" displayName="Table2" ref="E3:F13" totalsRowShown="0">
  <autoFilter ref="E3:F13" xr:uid="{FE6B31D5-2F9D-421B-A6FA-549E5C490579}"/>
  <tableColumns count="2">
    <tableColumn id="1" xr3:uid="{CBF80CA7-E41C-42D5-9CB9-A2505D7226EF}" name="Metric"/>
    <tableColumn id="2" xr3:uid="{307C5516-B482-4316-9EC6-3009F166FA76}" name="Calcul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D60852-368F-4791-BEF2-350DD11DB06A}" name="Table3" displayName="Table3" ref="A27:C32" totalsRowShown="0">
  <autoFilter ref="A27:C32" xr:uid="{FAD60852-368F-4791-BEF2-350DD11DB06A}"/>
  <tableColumns count="3">
    <tableColumn id="1" xr3:uid="{BB0E2826-A6F7-4A1A-82CB-ADA34D86C350}" name="Team Member"/>
    <tableColumn id="2" xr3:uid="{745D4D8A-2FBC-47AA-9D60-5C1108E4A23F}" name="Units Contributed"/>
    <tableColumn id="3" xr3:uid="{76268C88-B98A-4433-80B7-E77D1F221973}" name="Cost Contribu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C23DD-9775-417F-BB42-4B825A4082CE}">
  <dimension ref="A1:J32"/>
  <sheetViews>
    <sheetView tabSelected="1" zoomScale="115" zoomScaleNormal="115" workbookViewId="0">
      <selection activeCell="D6" sqref="D6"/>
    </sheetView>
  </sheetViews>
  <sheetFormatPr defaultRowHeight="14.5" x14ac:dyDescent="0.35"/>
  <cols>
    <col min="1" max="1" width="29.26953125" bestFit="1" customWidth="1"/>
    <col min="2" max="2" width="25.36328125" bestFit="1" customWidth="1"/>
    <col min="3" max="3" width="25.08984375" bestFit="1" customWidth="1"/>
    <col min="5" max="5" width="10.54296875" customWidth="1"/>
    <col min="6" max="6" width="13.36328125" bestFit="1" customWidth="1"/>
    <col min="7" max="7" width="8.54296875" customWidth="1"/>
    <col min="8" max="8" width="11.453125" customWidth="1"/>
    <col min="9" max="9" width="10.6328125" customWidth="1"/>
    <col min="10" max="10" width="10.90625" customWidth="1"/>
    <col min="11" max="11" width="12.6328125" customWidth="1"/>
    <col min="12" max="12" width="11.26953125" customWidth="1"/>
    <col min="14" max="14" width="9" customWidth="1"/>
  </cols>
  <sheetData>
    <row r="1" spans="1:10" x14ac:dyDescent="0.35">
      <c r="A1" t="s">
        <v>0</v>
      </c>
    </row>
    <row r="3" spans="1:10" x14ac:dyDescent="0.35">
      <c r="A3" t="s">
        <v>38</v>
      </c>
      <c r="B3" t="s">
        <v>39</v>
      </c>
      <c r="C3" t="s">
        <v>50</v>
      </c>
      <c r="E3" t="s">
        <v>38</v>
      </c>
      <c r="F3" t="s">
        <v>51</v>
      </c>
    </row>
    <row r="4" spans="1:10" x14ac:dyDescent="0.35">
      <c r="A4" t="s">
        <v>28</v>
      </c>
      <c r="B4" s="2">
        <v>2280</v>
      </c>
      <c r="C4" t="s">
        <v>24</v>
      </c>
      <c r="E4" t="s">
        <v>1</v>
      </c>
      <c r="F4" t="s">
        <v>13</v>
      </c>
    </row>
    <row r="5" spans="1:10" x14ac:dyDescent="0.35">
      <c r="A5" t="s">
        <v>29</v>
      </c>
      <c r="B5" s="2">
        <v>2280</v>
      </c>
      <c r="C5" t="s">
        <v>24</v>
      </c>
      <c r="E5" t="s">
        <v>2</v>
      </c>
    </row>
    <row r="6" spans="1:10" x14ac:dyDescent="0.35">
      <c r="A6" t="s">
        <v>30</v>
      </c>
      <c r="B6" s="2">
        <v>2280</v>
      </c>
      <c r="C6" t="s">
        <v>24</v>
      </c>
      <c r="E6" t="s">
        <v>3</v>
      </c>
    </row>
    <row r="7" spans="1:10" x14ac:dyDescent="0.35">
      <c r="B7" s="2"/>
      <c r="E7" t="s">
        <v>4</v>
      </c>
      <c r="F7" t="s">
        <v>14</v>
      </c>
    </row>
    <row r="8" spans="1:10" x14ac:dyDescent="0.35">
      <c r="A8" t="s">
        <v>32</v>
      </c>
      <c r="B8" s="2">
        <f>B4-B6</f>
        <v>0</v>
      </c>
      <c r="C8" t="s">
        <v>24</v>
      </c>
      <c r="E8" t="s">
        <v>5</v>
      </c>
      <c r="F8" t="s">
        <v>16</v>
      </c>
    </row>
    <row r="9" spans="1:10" x14ac:dyDescent="0.35">
      <c r="A9" t="s">
        <v>31</v>
      </c>
      <c r="B9" s="2">
        <f>B4-B5</f>
        <v>0</v>
      </c>
      <c r="C9" t="s">
        <v>24</v>
      </c>
      <c r="E9" t="s">
        <v>6</v>
      </c>
      <c r="F9" t="s">
        <v>15</v>
      </c>
    </row>
    <row r="10" spans="1:10" x14ac:dyDescent="0.35">
      <c r="B10" s="2"/>
      <c r="E10" t="s">
        <v>7</v>
      </c>
      <c r="F10" t="s">
        <v>12</v>
      </c>
    </row>
    <row r="11" spans="1:10" x14ac:dyDescent="0.35">
      <c r="A11" t="s">
        <v>33</v>
      </c>
      <c r="B11" s="2">
        <f>B4/B6</f>
        <v>1</v>
      </c>
      <c r="E11" t="s">
        <v>17</v>
      </c>
      <c r="J11" s="1"/>
    </row>
    <row r="12" spans="1:10" x14ac:dyDescent="0.35">
      <c r="A12" t="s">
        <v>34</v>
      </c>
      <c r="B12" s="2">
        <f>B4/B5</f>
        <v>1</v>
      </c>
      <c r="E12" t="s">
        <v>8</v>
      </c>
      <c r="F12" t="s">
        <v>11</v>
      </c>
    </row>
    <row r="13" spans="1:10" x14ac:dyDescent="0.35">
      <c r="B13" s="2"/>
      <c r="E13" t="s">
        <v>9</v>
      </c>
      <c r="F13" t="s">
        <v>10</v>
      </c>
    </row>
    <row r="14" spans="1:10" x14ac:dyDescent="0.35">
      <c r="A14" t="s">
        <v>37</v>
      </c>
      <c r="B14" s="2">
        <v>2280</v>
      </c>
      <c r="C14" t="s">
        <v>24</v>
      </c>
    </row>
    <row r="15" spans="1:10" x14ac:dyDescent="0.35">
      <c r="A15" t="s">
        <v>36</v>
      </c>
      <c r="B15">
        <f>B14/B11</f>
        <v>2280</v>
      </c>
      <c r="C15" t="s">
        <v>24</v>
      </c>
    </row>
    <row r="16" spans="1:10" x14ac:dyDescent="0.35">
      <c r="A16" t="s">
        <v>35</v>
      </c>
      <c r="B16">
        <f>B14-B15</f>
        <v>0</v>
      </c>
      <c r="C16" t="s">
        <v>24</v>
      </c>
    </row>
    <row r="19" spans="1:3" x14ac:dyDescent="0.35">
      <c r="A19" t="s">
        <v>25</v>
      </c>
      <c r="B19">
        <v>35</v>
      </c>
    </row>
    <row r="20" spans="1:3" x14ac:dyDescent="0.35">
      <c r="A20" t="s">
        <v>19</v>
      </c>
      <c r="B20" t="s">
        <v>21</v>
      </c>
    </row>
    <row r="21" spans="1:3" x14ac:dyDescent="0.35">
      <c r="A21" t="s">
        <v>26</v>
      </c>
      <c r="B21" s="1">
        <v>30000</v>
      </c>
    </row>
    <row r="22" spans="1:3" x14ac:dyDescent="0.35">
      <c r="A22" t="s">
        <v>20</v>
      </c>
      <c r="B22" s="1">
        <v>15</v>
      </c>
      <c r="C22" t="s">
        <v>27</v>
      </c>
    </row>
    <row r="23" spans="1:3" x14ac:dyDescent="0.35">
      <c r="A23" t="s">
        <v>49</v>
      </c>
      <c r="B23" t="s">
        <v>47</v>
      </c>
      <c r="C23" t="s">
        <v>48</v>
      </c>
    </row>
    <row r="24" spans="1:3" x14ac:dyDescent="0.35">
      <c r="A24" t="s">
        <v>22</v>
      </c>
      <c r="B24" t="s">
        <v>23</v>
      </c>
    </row>
    <row r="27" spans="1:3" x14ac:dyDescent="0.35">
      <c r="A27" t="s">
        <v>40</v>
      </c>
      <c r="B27" t="s">
        <v>41</v>
      </c>
      <c r="C27" t="s">
        <v>42</v>
      </c>
    </row>
    <row r="28" spans="1:3" x14ac:dyDescent="0.35">
      <c r="A28" t="s">
        <v>43</v>
      </c>
      <c r="B28">
        <v>15</v>
      </c>
      <c r="C28" s="1">
        <v>900</v>
      </c>
    </row>
    <row r="29" spans="1:3" x14ac:dyDescent="0.35">
      <c r="A29" t="s">
        <v>44</v>
      </c>
      <c r="B29">
        <v>9</v>
      </c>
      <c r="C29" s="1">
        <v>540</v>
      </c>
    </row>
    <row r="30" spans="1:3" x14ac:dyDescent="0.35">
      <c r="A30" t="s">
        <v>45</v>
      </c>
      <c r="B30">
        <v>6</v>
      </c>
      <c r="C30" s="1">
        <v>360</v>
      </c>
    </row>
    <row r="31" spans="1:3" x14ac:dyDescent="0.35">
      <c r="A31" t="s">
        <v>46</v>
      </c>
      <c r="B31">
        <v>8</v>
      </c>
      <c r="C31" s="1">
        <v>480</v>
      </c>
    </row>
    <row r="32" spans="1:3" x14ac:dyDescent="0.35">
      <c r="A32" t="s">
        <v>18</v>
      </c>
      <c r="B32">
        <f>SUM(B28:B31)</f>
        <v>38</v>
      </c>
      <c r="C32" s="1">
        <f>SUM(C28:C31)</f>
        <v>2280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Patkar, Neel</dc:creator>
  <cp:lastModifiedBy>Patkar, Neel</cp:lastModifiedBy>
  <dcterms:created xsi:type="dcterms:W3CDTF">2025-12-19T00:07:58Z</dcterms:created>
  <dcterms:modified xsi:type="dcterms:W3CDTF">2025-12-24T20:40:50Z</dcterms:modified>
</cp:coreProperties>
</file>