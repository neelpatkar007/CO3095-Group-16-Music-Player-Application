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83F6397D-E0BE-4E32-B9B0-AF6B87E4A7F5}" xr6:coauthVersionLast="47" xr6:coauthVersionMax="47" xr10:uidLastSave="{00000000-0000-0000-0000-000000000000}"/>
  <bookViews>
    <workbookView xWindow="-28920" yWindow="-120" windowWidth="29040" windowHeight="16440" xr2:uid="{62BBB4B8-20C5-4716-8AF8-DEF5FB1D4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B20" i="1"/>
  <c r="B6" i="1"/>
  <c r="B5" i="1"/>
  <c r="B14" i="1"/>
  <c r="B4" i="1"/>
  <c r="C32" i="1"/>
  <c r="C29" i="1"/>
  <c r="C30" i="1"/>
  <c r="C31" i="1"/>
  <c r="B32" i="1"/>
  <c r="B8" i="1" l="1"/>
  <c r="B9" i="1"/>
  <c r="B11" i="1"/>
  <c r="B15" i="1" s="1"/>
  <c r="B16" i="1" s="1"/>
  <c r="B12" i="1"/>
</calcChain>
</file>

<file path=xl/sharedStrings.xml><?xml version="1.0" encoding="utf-8"?>
<sst xmlns="http://schemas.openxmlformats.org/spreadsheetml/2006/main" count="59" uniqueCount="51">
  <si>
    <t>EVM Sprint 1</t>
  </si>
  <si>
    <t>EV</t>
  </si>
  <si>
    <t>PV</t>
  </si>
  <si>
    <t>AC</t>
  </si>
  <si>
    <t>CV</t>
  </si>
  <si>
    <t>SV</t>
  </si>
  <si>
    <t>CPI</t>
  </si>
  <si>
    <t>SPI</t>
  </si>
  <si>
    <t>EAC</t>
  </si>
  <si>
    <t>VAC</t>
  </si>
  <si>
    <t>BAC-EAC</t>
  </si>
  <si>
    <t>BAC/CPI</t>
  </si>
  <si>
    <t>EV/PV</t>
  </si>
  <si>
    <t>PV to date * RP</t>
  </si>
  <si>
    <t>EV-AC</t>
  </si>
  <si>
    <t>EV/AC</t>
  </si>
  <si>
    <t>EV-PV</t>
  </si>
  <si>
    <t>BAC</t>
  </si>
  <si>
    <t>Total</t>
  </si>
  <si>
    <t>Total Planned Hours</t>
  </si>
  <si>
    <t xml:space="preserve">Hourly Rate </t>
  </si>
  <si>
    <t>Cost per Point</t>
  </si>
  <si>
    <t>GBP</t>
  </si>
  <si>
    <t xml:space="preserve">Total Planned Story Points </t>
  </si>
  <si>
    <t>Yearly Salary</t>
  </si>
  <si>
    <t>(£30000/52 weeks/40 hours)</t>
  </si>
  <si>
    <t>EV (Earned Value)</t>
  </si>
  <si>
    <t>PV (Planned Value)</t>
  </si>
  <si>
    <t>AC (Actual Cost)</t>
  </si>
  <si>
    <t>SV (Schedule Variance)</t>
  </si>
  <si>
    <t>CV (Cost Variance)</t>
  </si>
  <si>
    <t>CPI (Cost Performance Index)</t>
  </si>
  <si>
    <t>SPI (Schedule Performance Index)</t>
  </si>
  <si>
    <t>VAC (Variance at Completion)</t>
  </si>
  <si>
    <t>EAC (Estimate at Completion)</t>
  </si>
  <si>
    <t>BAC (Budget at Completion)</t>
  </si>
  <si>
    <t>Metric</t>
  </si>
  <si>
    <t>Value</t>
  </si>
  <si>
    <t>Team Member</t>
  </si>
  <si>
    <t>Units Contributed</t>
  </si>
  <si>
    <t>Raiyan</t>
  </si>
  <si>
    <t>Neel</t>
  </si>
  <si>
    <t>Samuel</t>
  </si>
  <si>
    <t>Sanil</t>
  </si>
  <si>
    <t>£15*4 = £60</t>
  </si>
  <si>
    <t>Each day counts as 4 hours</t>
  </si>
  <si>
    <t>Daily Rate</t>
  </si>
  <si>
    <t>Unit</t>
  </si>
  <si>
    <t>Calculate</t>
  </si>
  <si>
    <t>Cost Contribution (£60/unit)</t>
  </si>
  <si>
    <t>(124*15)/35=£53.14 per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</si>
</sst>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1">
    <dxf>
      <numFmt numFmtId="10" formatCode="&quot;£&quot;#,##0;[Red]\-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36304</xdr:colOff>
      <xdr:row>0</xdr:row>
      <xdr:rowOff>165652</xdr:rowOff>
    </xdr:from>
    <xdr:to>
      <xdr:col>13</xdr:col>
      <xdr:colOff>344693</xdr:colOff>
      <xdr:row>20</xdr:row>
      <xdr:rowOff>23501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F390E6-645B-65C9-B70D-5902CA9E8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2847" y="165652"/>
          <a:ext cx="4905237" cy="3502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382242</xdr:colOff>
      <xdr:row>20</xdr:row>
      <xdr:rowOff>36305</xdr:rowOff>
    </xdr:from>
    <xdr:to>
      <xdr:col>11</xdr:col>
      <xdr:colOff>692992</xdr:colOff>
      <xdr:row>27</xdr:row>
      <xdr:rowOff>94283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2E1AA7-E7EA-F726-1E6F-CE68B9592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438" y="3680653"/>
          <a:ext cx="6390184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224439</xdr:colOff>
      <xdr:row>27</xdr:row>
      <xdr:rowOff>63087</xdr:rowOff>
    </xdr:from>
    <xdr:to>
      <xdr:col>15</xdr:col>
      <xdr:colOff>391380</xdr:colOff>
      <xdr:row>51</xdr:row>
      <xdr:rowOff>152262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5C641E3-D097-CAAD-8847-F810C99E8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9830" y="4982957"/>
          <a:ext cx="4457333" cy="4462392"/>
        </a:xfrm>
        <a:prstGeom prst="rect">
          <a:avLst/>
        </a:prstGeom>
      </xdr:spPr>
    </xdr:pic>
    <xdr:clientData/>
  </xdr:twoCellAnchor>
  <xdr:twoCellAnchor editAs="oneCell">
    <xdr:from>
      <xdr:col>0</xdr:col>
      <xdr:colOff>61153</xdr:colOff>
      <xdr:row>33</xdr:row>
      <xdr:rowOff>163719</xdr:rowOff>
    </xdr:from>
    <xdr:to>
      <xdr:col>2</xdr:col>
      <xdr:colOff>1343713</xdr:colOff>
      <xdr:row>51</xdr:row>
      <xdr:rowOff>63735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24E2DF-1A72-0B60-2B62-50B79C9A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53" y="6176893"/>
          <a:ext cx="5100843" cy="3179929"/>
        </a:xfrm>
        <a:prstGeom prst="rect">
          <a:avLst/>
        </a:prstGeom>
      </xdr:spPr>
    </xdr:pic>
    <xdr:clientData/>
  </xdr:twoCellAnchor>
  <xdr:twoCellAnchor editAs="oneCell">
    <xdr:from>
      <xdr:col>2</xdr:col>
      <xdr:colOff>1331567</xdr:colOff>
      <xdr:row>33</xdr:row>
      <xdr:rowOff>124239</xdr:rowOff>
    </xdr:from>
    <xdr:to>
      <xdr:col>8</xdr:col>
      <xdr:colOff>716294</xdr:colOff>
      <xdr:row>50</xdr:row>
      <xdr:rowOff>57978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781F530-08C8-538A-DB8B-7A4332CF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9850" y="6137413"/>
          <a:ext cx="4826401" cy="30314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498A9-BC98-4742-BC81-D6B3B4526244}" name="Table1" displayName="Table1" ref="A3:C16" totalsRowShown="0">
  <autoFilter ref="A3:C16" xr:uid="{BE0498A9-BC98-4742-BC81-D6B3B4526244}"/>
  <tableColumns count="3">
    <tableColumn id="1" xr3:uid="{547314EA-297F-45A8-B138-8BDA2B73359E}" name="Metric"/>
    <tableColumn id="2" xr3:uid="{98841052-8A34-4CD4-8931-EF0179CDE003}" name="Value"/>
    <tableColumn id="3" xr3:uid="{A1437419-D83F-4593-9C5F-A8D134375443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B31D5-2F9D-421B-A6FA-549E5C490579}" name="Table2" displayName="Table2" ref="E3:F13" totalsRowShown="0">
  <autoFilter ref="E3:F13" xr:uid="{FE6B31D5-2F9D-421B-A6FA-549E5C490579}"/>
  <tableColumns count="2">
    <tableColumn id="1" xr3:uid="{CBF80CA7-E41C-42D5-9CB9-A2505D7226EF}" name="Metric"/>
    <tableColumn id="2" xr3:uid="{307C5516-B482-4316-9EC6-3009F166FA76}" name="Calcul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D60852-368F-4791-BEF2-350DD11DB06A}" name="Table3" displayName="Table3" ref="A27:C32" totalsRowShown="0">
  <autoFilter ref="A27:C32" xr:uid="{FAD60852-368F-4791-BEF2-350DD11DB06A}"/>
  <tableColumns count="3">
    <tableColumn id="1" xr3:uid="{BB0E2826-A6F7-4A1A-82CB-ADA34D86C350}" name="Team Member"/>
    <tableColumn id="2" xr3:uid="{745D4D8A-2FBC-47AA-9D60-5C1108E4A23F}" name="Units Contributed"/>
    <tableColumn id="3" xr3:uid="{76268C88-B98A-4433-80B7-E77D1F221973}" name="Cost Contribution (£60/unit)" dataDxfId="0">
      <calculatedColumnFormula>Table3[[#This Row],[Units Contributed]]*60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23DD-9775-417F-BB42-4B825A4082CE}">
  <dimension ref="A1:J32"/>
  <sheetViews>
    <sheetView tabSelected="1" zoomScale="115" zoomScaleNormal="115" workbookViewId="0">
      <selection activeCell="F14" sqref="F14"/>
    </sheetView>
  </sheetViews>
  <sheetFormatPr defaultRowHeight="14.5" x14ac:dyDescent="0.35"/>
  <cols>
    <col min="1" max="1" width="29.26953125" bestFit="1" customWidth="1"/>
    <col min="2" max="2" width="25.36328125" bestFit="1" customWidth="1"/>
    <col min="3" max="3" width="25.08984375" bestFit="1" customWidth="1"/>
    <col min="5" max="5" width="10.54296875" customWidth="1"/>
    <col min="6" max="6" width="13.36328125" bestFit="1" customWidth="1"/>
    <col min="7" max="7" width="8.54296875" customWidth="1"/>
    <col min="8" max="8" width="11.453125" customWidth="1"/>
    <col min="9" max="9" width="10.6328125" customWidth="1"/>
    <col min="10" max="10" width="10.90625" customWidth="1"/>
    <col min="11" max="11" width="12.6328125" customWidth="1"/>
    <col min="12" max="12" width="11.26953125" customWidth="1"/>
    <col min="14" max="14" width="9" customWidth="1"/>
  </cols>
  <sheetData>
    <row r="1" spans="1:10" x14ac:dyDescent="0.35">
      <c r="A1" t="s">
        <v>0</v>
      </c>
    </row>
    <row r="3" spans="1:10" x14ac:dyDescent="0.35">
      <c r="A3" t="s">
        <v>36</v>
      </c>
      <c r="B3" t="s">
        <v>37</v>
      </c>
      <c r="C3" t="s">
        <v>47</v>
      </c>
      <c r="E3" t="s">
        <v>36</v>
      </c>
      <c r="F3" t="s">
        <v>48</v>
      </c>
    </row>
    <row r="4" spans="1:10" x14ac:dyDescent="0.35">
      <c r="A4" t="s">
        <v>26</v>
      </c>
      <c r="B4" s="1">
        <f>C32</f>
        <v>1860</v>
      </c>
      <c r="C4" t="s">
        <v>22</v>
      </c>
      <c r="E4" t="s">
        <v>1</v>
      </c>
      <c r="F4" t="s">
        <v>13</v>
      </c>
    </row>
    <row r="5" spans="1:10" x14ac:dyDescent="0.35">
      <c r="A5" t="s">
        <v>27</v>
      </c>
      <c r="B5" s="1">
        <f>C32</f>
        <v>1860</v>
      </c>
      <c r="C5" t="s">
        <v>22</v>
      </c>
      <c r="E5" t="s">
        <v>2</v>
      </c>
    </row>
    <row r="6" spans="1:10" x14ac:dyDescent="0.35">
      <c r="A6" t="s">
        <v>28</v>
      </c>
      <c r="B6" s="1">
        <f>C32</f>
        <v>1860</v>
      </c>
      <c r="C6" t="s">
        <v>22</v>
      </c>
      <c r="E6" t="s">
        <v>3</v>
      </c>
    </row>
    <row r="7" spans="1:10" x14ac:dyDescent="0.35">
      <c r="E7" t="s">
        <v>4</v>
      </c>
      <c r="F7" t="s">
        <v>14</v>
      </c>
    </row>
    <row r="8" spans="1:10" x14ac:dyDescent="0.35">
      <c r="A8" t="s">
        <v>30</v>
      </c>
      <c r="B8">
        <f>B4-B6</f>
        <v>0</v>
      </c>
      <c r="C8" t="s">
        <v>22</v>
      </c>
      <c r="E8" t="s">
        <v>5</v>
      </c>
      <c r="F8" t="s">
        <v>16</v>
      </c>
    </row>
    <row r="9" spans="1:10" x14ac:dyDescent="0.35">
      <c r="A9" t="s">
        <v>29</v>
      </c>
      <c r="B9">
        <f>B4-B5</f>
        <v>0</v>
      </c>
      <c r="C9" t="s">
        <v>22</v>
      </c>
      <c r="E9" t="s">
        <v>6</v>
      </c>
      <c r="F9" t="s">
        <v>15</v>
      </c>
    </row>
    <row r="10" spans="1:10" x14ac:dyDescent="0.35">
      <c r="E10" t="s">
        <v>7</v>
      </c>
      <c r="F10" t="s">
        <v>12</v>
      </c>
    </row>
    <row r="11" spans="1:10" x14ac:dyDescent="0.35">
      <c r="A11" t="s">
        <v>31</v>
      </c>
      <c r="B11">
        <f>B4/B6</f>
        <v>1</v>
      </c>
      <c r="E11" t="s">
        <v>17</v>
      </c>
      <c r="J11" s="1"/>
    </row>
    <row r="12" spans="1:10" x14ac:dyDescent="0.35">
      <c r="A12" t="s">
        <v>32</v>
      </c>
      <c r="B12">
        <f>B4/B5</f>
        <v>1</v>
      </c>
      <c r="E12" t="s">
        <v>8</v>
      </c>
      <c r="F12" t="s">
        <v>11</v>
      </c>
    </row>
    <row r="13" spans="1:10" x14ac:dyDescent="0.35">
      <c r="E13" t="s">
        <v>9</v>
      </c>
      <c r="F13" t="s">
        <v>10</v>
      </c>
    </row>
    <row r="14" spans="1:10" x14ac:dyDescent="0.35">
      <c r="A14" t="s">
        <v>35</v>
      </c>
      <c r="B14" s="1">
        <f>C32</f>
        <v>1860</v>
      </c>
      <c r="C14" t="s">
        <v>22</v>
      </c>
    </row>
    <row r="15" spans="1:10" x14ac:dyDescent="0.35">
      <c r="A15" t="s">
        <v>34</v>
      </c>
      <c r="B15">
        <f>B14/B11</f>
        <v>1860</v>
      </c>
      <c r="C15" t="s">
        <v>22</v>
      </c>
    </row>
    <row r="16" spans="1:10" x14ac:dyDescent="0.35">
      <c r="A16" t="s">
        <v>33</v>
      </c>
      <c r="B16">
        <f>B14-B15</f>
        <v>0</v>
      </c>
      <c r="C16" t="s">
        <v>22</v>
      </c>
    </row>
    <row r="19" spans="1:3" x14ac:dyDescent="0.35">
      <c r="A19" t="s">
        <v>23</v>
      </c>
      <c r="B19">
        <v>35</v>
      </c>
    </row>
    <row r="20" spans="1:3" x14ac:dyDescent="0.35">
      <c r="A20" t="s">
        <v>19</v>
      </c>
      <c r="B20">
        <f>B32*4</f>
        <v>124</v>
      </c>
    </row>
    <row r="21" spans="1:3" x14ac:dyDescent="0.35">
      <c r="A21" t="s">
        <v>24</v>
      </c>
      <c r="B21" s="1">
        <v>30000</v>
      </c>
    </row>
    <row r="22" spans="1:3" x14ac:dyDescent="0.35">
      <c r="A22" t="s">
        <v>20</v>
      </c>
      <c r="B22" s="1">
        <v>15</v>
      </c>
      <c r="C22" t="s">
        <v>25</v>
      </c>
    </row>
    <row r="23" spans="1:3" x14ac:dyDescent="0.35">
      <c r="A23" t="s">
        <v>46</v>
      </c>
      <c r="B23" t="s">
        <v>44</v>
      </c>
      <c r="C23" t="s">
        <v>45</v>
      </c>
    </row>
    <row r="24" spans="1:3" x14ac:dyDescent="0.35">
      <c r="A24" t="s">
        <v>21</v>
      </c>
      <c r="B24" t="s">
        <v>50</v>
      </c>
    </row>
    <row r="27" spans="1:3" x14ac:dyDescent="0.35">
      <c r="A27" t="s">
        <v>38</v>
      </c>
      <c r="B27" t="s">
        <v>39</v>
      </c>
      <c r="C27" t="s">
        <v>49</v>
      </c>
    </row>
    <row r="28" spans="1:3" x14ac:dyDescent="0.35">
      <c r="A28" t="s">
        <v>40</v>
      </c>
      <c r="B28">
        <v>13</v>
      </c>
      <c r="C28" s="1">
        <f>Table3[[#This Row],[Units Contributed]]*60</f>
        <v>780</v>
      </c>
    </row>
    <row r="29" spans="1:3" x14ac:dyDescent="0.35">
      <c r="A29" t="s">
        <v>41</v>
      </c>
      <c r="B29">
        <v>8</v>
      </c>
      <c r="C29" s="1">
        <f>Table3[[#This Row],[Units Contributed]]*60</f>
        <v>480</v>
      </c>
    </row>
    <row r="30" spans="1:3" x14ac:dyDescent="0.35">
      <c r="A30" t="s">
        <v>42</v>
      </c>
      <c r="B30">
        <v>5</v>
      </c>
      <c r="C30" s="1">
        <f>Table3[[#This Row],[Units Contributed]]*60</f>
        <v>300</v>
      </c>
    </row>
    <row r="31" spans="1:3" x14ac:dyDescent="0.35">
      <c r="A31" t="s">
        <v>43</v>
      </c>
      <c r="B31">
        <v>5</v>
      </c>
      <c r="C31" s="1">
        <f>Table3[[#This Row],[Units Contributed]]*60</f>
        <v>300</v>
      </c>
    </row>
    <row r="32" spans="1:3" x14ac:dyDescent="0.35">
      <c r="A32" t="s">
        <v>18</v>
      </c>
      <c r="B32">
        <f>SUM(B28:B31)</f>
        <v>31</v>
      </c>
      <c r="C32" s="1">
        <f>Table3[[#This Row],[Units Contributed]]*60</f>
        <v>1860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2025-12-19T00:07:58Z</dcterms:created>
  <dcterms:modified xsi:type="dcterms:W3CDTF">2025-12-25T01:02:07Z</dcterms:modified>
</cp:coreProperties>
</file>